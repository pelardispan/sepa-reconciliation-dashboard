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ettings" sheetId="2" state="visible" r:id="rId4"/>
    <sheet name="Internal Transactions" sheetId="3" state="visible" r:id="rId5"/>
    <sheet name="Bank Statement" sheetId="4" state="visible" r:id="rId6"/>
    <sheet name="Reconciliation" sheetId="5" state="visible" r:id="rId7"/>
    <sheet name="Dashboard" sheetId="6" state="visible" r:id="rId8"/>
    <sheet name="Exception Queue" sheetId="7" state="visible" r:id="rId9"/>
  </sheets>
  <definedNames>
    <definedName function="false" hidden="true" localSheetId="6" name="_xlnm._FilterDatabase" vbProcedure="false">'Exception Queue'!$A$4:$H$107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<sst xmlns="http://schemas.openxmlformats.org/spreadsheetml/2006/main" count="1250" uniqueCount="480">
  <si>
    <t xml:space="preserve">SEPA Transaction Reconciliation Dashboard</t>
  </si>
  <si>
    <t xml:space="preserve">Built by: Panagiotis Pelardis  |  Portfolio piece for fintech / payment ops applications</t>
  </si>
  <si>
    <t xml:space="preserve">WHAT THIS WORKBOOK DOES</t>
  </si>
  <si>
    <t xml:space="preserve">A working SEPA payment reconciliation model built on realistic mock data. It demonstrates</t>
  </si>
  <si>
    <t xml:space="preserve">the day-to-day workflow of a Payment Operations / Finance Operations analyst at an acquirer,</t>
  </si>
  <si>
    <t xml:space="preserve">PSP or fintech back-office: matching internal transaction records against bank settlement</t>
  </si>
  <si>
    <t xml:space="preserve">files, identifying discrepancies, and surfacing operational metrics through a live dashboard.</t>
  </si>
  <si>
    <t xml:space="preserve">STRUCTURE</t>
  </si>
  <si>
    <t xml:space="preserve">  1. Settings              — configurable thresholds (match rate alert, settlement window)</t>
  </si>
  <si>
    <t xml:space="preserve">  2. Internal Transactions — 100 mock SEPA payments processed through our system</t>
  </si>
  <si>
    <t xml:space="preserve">  3. Bank Statement        — bank-side entries with deliberate discrepancies and lag</t>
  </si>
  <si>
    <t xml:space="preserve">  4. Reconciliation        — multi-step match logic with date-window and fuzzy matching</t>
  </si>
  <si>
    <t xml:space="preserve">  5. Dashboard             — KPIs, breakdowns, charts, and threshold-based alerts</t>
  </si>
  <si>
    <t xml:space="preserve">  6. Exception Queue       — filtered view of transactions needing manual review</t>
  </si>
  <si>
    <t xml:space="preserve">ADVANCED FEATURES</t>
  </si>
  <si>
    <t xml:space="preserve">  • Settlement-lag tolerance: matches transactions that arrive at the bank 0-3 days late</t>
  </si>
  <si>
    <t xml:space="preserve">    (configurable in Settings sheet) — matches real-world T+1/T+2/T+3 settlement cycles</t>
  </si>
  <si>
    <t xml:space="preserve">  • Fuzzy reference matching: detects matches even when bank references are not identical</t>
  </si>
  <si>
    <t xml:space="preserve">    to internal references (e.g. 'BOL.COM ORDER' vs 'Bol.com Order' or 'PMT Bol.com Order')</t>
  </si>
  <si>
    <t xml:space="preserve">  • Threshold alerts: dashboard shows red/amber/green status when reconciliation match</t>
  </si>
  <si>
    <t xml:space="preserve">    rate falls below configurable thresholds (default: &lt;85% red, &lt;95% amber, &gt;=95% green)</t>
  </si>
  <si>
    <t xml:space="preserve">  • Exception queue: auto-filtered list of transactions needing manual investigation,</t>
  </si>
  <si>
    <t xml:space="preserve">    sorted by severity — exactly what an ops analyst opens first thing each morning</t>
  </si>
  <si>
    <t xml:space="preserve">KEY SKILLS DEMONSTRATED</t>
  </si>
  <si>
    <t xml:space="preserve">  • SEPA / IBAN / payments data structures</t>
  </si>
  <si>
    <t xml:space="preserve">  • Multi-step reconciliation logic (presence, amount, date-window, fuzzy match)</t>
  </si>
  <si>
    <t xml:space="preserve">  • Excel formulas: VLOOKUP, INDEX/MATCH, IFERROR, COUNTIF, SUMIF, AND/OR, ABS, IF nesting</t>
  </si>
  <si>
    <t xml:space="preserve">  • Conditional formatting and threshold-based status indicators</t>
  </si>
  <si>
    <t xml:space="preserve">  • Pivot-style breakdowns and chart-based reporting</t>
  </si>
  <si>
    <t xml:space="preserve">  • Dashboard design: KPI cards, status alerts, exception queues</t>
  </si>
  <si>
    <t xml:space="preserve">  • Configuration-driven design: thresholds in one place, not scattered through formulas</t>
  </si>
  <si>
    <t xml:space="preserve">REAL-WORLD RELEVANCE</t>
  </si>
  <si>
    <t xml:space="preserve">  This is exactly the workflow used at acquirers (Adyen, Stripe), PSPs (Mollie, Worldline)</t>
  </si>
  <si>
    <t xml:space="preserve">  and fintech back-offices when matching merchant transaction logs against settlement files</t>
  </si>
  <si>
    <t xml:space="preserve">  received from card schemes or banking partners. Discrepancies that aren't caught here</t>
  </si>
  <si>
    <t xml:space="preserve">  become disputed chargebacks, lost revenue, or compliance issues downstream.</t>
  </si>
  <si>
    <t xml:space="preserve">TECH NOTE</t>
  </si>
  <si>
    <t xml:space="preserve">  All calculations are Excel formulas (no macros, no VBA, no hardcoded results). The model</t>
  </si>
  <si>
    <t xml:space="preserve">  is fully dynamic — change the source data or settings, outputs recalculate automatically.</t>
  </si>
  <si>
    <t xml:space="preserve">Reconciliation Settings</t>
  </si>
  <si>
    <t xml:space="preserve">Configurable thresholds — change values in column C and the entire model recalculates</t>
  </si>
  <si>
    <t xml:space="preserve">PARAMETER</t>
  </si>
  <si>
    <t xml:space="preserve">VALUE</t>
  </si>
  <si>
    <t xml:space="preserve">DESCRIPTION</t>
  </si>
  <si>
    <t xml:space="preserve">Settlement window (days)</t>
  </si>
  <si>
    <t xml:space="preserve">Maximum days the bank can lag behind internal date for transaction to still match</t>
  </si>
  <si>
    <t xml:space="preserve">Amount tolerance (EUR)</t>
  </si>
  <si>
    <t xml:space="preserve">Maximum amount difference (EUR) before flagging a mismatch</t>
  </si>
  <si>
    <t xml:space="preserve">Match rate target</t>
  </si>
  <si>
    <t xml:space="preserve">Target match rate — dashboard goes GREEN above this level</t>
  </si>
  <si>
    <t xml:space="preserve">Match rate warning</t>
  </si>
  <si>
    <t xml:space="preserve">Warning threshold — dashboard goes AMBER below target, RED below this</t>
  </si>
  <si>
    <t xml:space="preserve">Fuzzy match enabled</t>
  </si>
  <si>
    <t xml:space="preserve">TRUE</t>
  </si>
  <si>
    <t xml:space="preserve">If TRUE, partial reference matches count as matched</t>
  </si>
  <si>
    <t xml:space="preserve">Note: Values shown in BLUE on yellow background are inputs you can change.</t>
  </si>
  <si>
    <t xml:space="preserve">All other cells in the workbook are formulas that reference these settings.</t>
  </si>
  <si>
    <t xml:space="preserve">Transaction ID</t>
  </si>
  <si>
    <t xml:space="preserve">Date</t>
  </si>
  <si>
    <t xml:space="preserve">Amount (EUR)</t>
  </si>
  <si>
    <t xml:space="preserve">Sender IBAN</t>
  </si>
  <si>
    <t xml:space="preserve">Receiver IBAN</t>
  </si>
  <si>
    <t xml:space="preserve">Country</t>
  </si>
  <si>
    <t xml:space="preserve">Status</t>
  </si>
  <si>
    <t xml:space="preserve">Reference</t>
  </si>
  <si>
    <t xml:space="preserve">SEPA-2025-1000</t>
  </si>
  <si>
    <t xml:space="preserve">IT60X0542811362950628</t>
  </si>
  <si>
    <t xml:space="preserve">NL91ABNA339670711</t>
  </si>
  <si>
    <t xml:space="preserve">IT</t>
  </si>
  <si>
    <t xml:space="preserve">Settled</t>
  </si>
  <si>
    <t xml:space="preserve">PostNL Pakket</t>
  </si>
  <si>
    <t xml:space="preserve">SEPA-2025-1001</t>
  </si>
  <si>
    <t xml:space="preserve">DE89370400734036506</t>
  </si>
  <si>
    <t xml:space="preserve">NL91ABNA553035110</t>
  </si>
  <si>
    <t xml:space="preserve">DE</t>
  </si>
  <si>
    <t xml:space="preserve">Bol.com Order</t>
  </si>
  <si>
    <t xml:space="preserve">SEPA-2025-1002</t>
  </si>
  <si>
    <t xml:space="preserve">GR16011012500128492780</t>
  </si>
  <si>
    <t xml:space="preserve">NL91ABNA702632297</t>
  </si>
  <si>
    <t xml:space="preserve">GR</t>
  </si>
  <si>
    <t xml:space="preserve">ING Maandelijks</t>
  </si>
  <si>
    <t xml:space="preserve">SEPA-2025-1003</t>
  </si>
  <si>
    <t xml:space="preserve">IT60X0542811969119330</t>
  </si>
  <si>
    <t xml:space="preserve">NL91ABNA106977991</t>
  </si>
  <si>
    <t xml:space="preserve">Albert Heijn Bezorging</t>
  </si>
  <si>
    <t xml:space="preserve">SEPA-2025-1004</t>
  </si>
  <si>
    <t xml:space="preserve">BE68539007209747451</t>
  </si>
  <si>
    <t xml:space="preserve">NL91ABNA199585092</t>
  </si>
  <si>
    <t xml:space="preserve">BE</t>
  </si>
  <si>
    <t xml:space="preserve">Pending</t>
  </si>
  <si>
    <t xml:space="preserve">SEPA-2025-1005</t>
  </si>
  <si>
    <t xml:space="preserve">NL91ABNA883543540</t>
  </si>
  <si>
    <t xml:space="preserve">NL91ABNA593303705</t>
  </si>
  <si>
    <t xml:space="preserve">NL</t>
  </si>
  <si>
    <t xml:space="preserve">Returned</t>
  </si>
  <si>
    <t xml:space="preserve">SEPA-2025-1006</t>
  </si>
  <si>
    <t xml:space="preserve">IT60X0542811990566476</t>
  </si>
  <si>
    <t xml:space="preserve">NL91ABNA774996843</t>
  </si>
  <si>
    <t xml:space="preserve">Vodafone Mobile</t>
  </si>
  <si>
    <t xml:space="preserve">SEPA-2025-1007</t>
  </si>
  <si>
    <t xml:space="preserve">ES9121000418930075810</t>
  </si>
  <si>
    <t xml:space="preserve">NL91ABNA410727955</t>
  </si>
  <si>
    <t xml:space="preserve">ES</t>
  </si>
  <si>
    <t xml:space="preserve">Vattenfall Energy</t>
  </si>
  <si>
    <t xml:space="preserve">SEPA-2025-1008</t>
  </si>
  <si>
    <t xml:space="preserve">PT50000201782560971</t>
  </si>
  <si>
    <t xml:space="preserve">NL91ABNA995619255</t>
  </si>
  <si>
    <t xml:space="preserve">PT</t>
  </si>
  <si>
    <t xml:space="preserve">Booking.com Reservation</t>
  </si>
  <si>
    <t xml:space="preserve">SEPA-2025-1009</t>
  </si>
  <si>
    <t xml:space="preserve">IT60X0542811853573823</t>
  </si>
  <si>
    <t xml:space="preserve">NL91ABNA833953718</t>
  </si>
  <si>
    <t xml:space="preserve">Eneco Energy</t>
  </si>
  <si>
    <t xml:space="preserve">SEPA-2025-1010</t>
  </si>
  <si>
    <t xml:space="preserve">ES9121000418275452091</t>
  </si>
  <si>
    <t xml:space="preserve">NL91ABNA596348124</t>
  </si>
  <si>
    <t xml:space="preserve">Lidl Online</t>
  </si>
  <si>
    <t xml:space="preserve">SEPA-2025-1011</t>
  </si>
  <si>
    <t xml:space="preserve">ES9121000418835098955</t>
  </si>
  <si>
    <t xml:space="preserve">NL91ABNA448195935</t>
  </si>
  <si>
    <t xml:space="preserve">SEPA-2025-1012</t>
  </si>
  <si>
    <t xml:space="preserve">AT611904300387484583</t>
  </si>
  <si>
    <t xml:space="preserve">NL91ABNA171069472</t>
  </si>
  <si>
    <t xml:space="preserve">AT</t>
  </si>
  <si>
    <t xml:space="preserve">SEPA-2025-1013</t>
  </si>
  <si>
    <t xml:space="preserve">PT50000201524806516</t>
  </si>
  <si>
    <t xml:space="preserve">NL91ABNA790256940</t>
  </si>
  <si>
    <t xml:space="preserve">Failed</t>
  </si>
  <si>
    <t xml:space="preserve">Spotify Subscription</t>
  </si>
  <si>
    <t xml:space="preserve">SEPA-2025-1014</t>
  </si>
  <si>
    <t xml:space="preserve">IE29AIBK931678722458</t>
  </si>
  <si>
    <t xml:space="preserve">NL91ABNA382116655</t>
  </si>
  <si>
    <t xml:space="preserve">IE</t>
  </si>
  <si>
    <t xml:space="preserve">SEPA-2025-1015</t>
  </si>
  <si>
    <t xml:space="preserve">FR1420041010647099690</t>
  </si>
  <si>
    <t xml:space="preserve">NL91ABNA629908599</t>
  </si>
  <si>
    <t xml:space="preserve">FR</t>
  </si>
  <si>
    <t xml:space="preserve">AH Online</t>
  </si>
  <si>
    <t xml:space="preserve">SEPA-2025-1016</t>
  </si>
  <si>
    <t xml:space="preserve">FR1420041010950488739</t>
  </si>
  <si>
    <t xml:space="preserve">NL91ABNA830661141</t>
  </si>
  <si>
    <t xml:space="preserve">SEPA-2025-1017</t>
  </si>
  <si>
    <t xml:space="preserve">PT50000201668132202</t>
  </si>
  <si>
    <t xml:space="preserve">NL91ABNA369953851</t>
  </si>
  <si>
    <t xml:space="preserve">SEPA-2025-1018</t>
  </si>
  <si>
    <t xml:space="preserve">IE29AIBK931906248900</t>
  </si>
  <si>
    <t xml:space="preserve">NL91ABNA386501362</t>
  </si>
  <si>
    <t xml:space="preserve">SEPA-2025-1019</t>
  </si>
  <si>
    <t xml:space="preserve">NL91ABNA875340444</t>
  </si>
  <si>
    <t xml:space="preserve">NL91ABNA872751234</t>
  </si>
  <si>
    <t xml:space="preserve">Wehkamp</t>
  </si>
  <si>
    <t xml:space="preserve">SEPA-2025-1020</t>
  </si>
  <si>
    <t xml:space="preserve">DE89370400771410971</t>
  </si>
  <si>
    <t xml:space="preserve">NL91ABNA420452650</t>
  </si>
  <si>
    <t xml:space="preserve">SEPA-2025-1021</t>
  </si>
  <si>
    <t xml:space="preserve">FR1420041010679153816</t>
  </si>
  <si>
    <t xml:space="preserve">NL91ABNA936043811</t>
  </si>
  <si>
    <t xml:space="preserve">SEPA-2025-1022</t>
  </si>
  <si>
    <t xml:space="preserve">DE89370400489747629</t>
  </si>
  <si>
    <t xml:space="preserve">NL91ABNA992994062</t>
  </si>
  <si>
    <t xml:space="preserve">SEPA-2025-1023</t>
  </si>
  <si>
    <t xml:space="preserve">DE89370400191969690</t>
  </si>
  <si>
    <t xml:space="preserve">NL91ABNA885879795</t>
  </si>
  <si>
    <t xml:space="preserve">Coolblue B.V.</t>
  </si>
  <si>
    <t xml:space="preserve">SEPA-2025-1024</t>
  </si>
  <si>
    <t xml:space="preserve">FR1420041010808402051</t>
  </si>
  <si>
    <t xml:space="preserve">NL91ABNA610330567</t>
  </si>
  <si>
    <t xml:space="preserve">SEPA-2025-1025</t>
  </si>
  <si>
    <t xml:space="preserve">AT611904300327416584</t>
  </si>
  <si>
    <t xml:space="preserve">NL91ABNA679064766</t>
  </si>
  <si>
    <t xml:space="preserve">Decathlon Webshop</t>
  </si>
  <si>
    <t xml:space="preserve">SEPA-2025-1026</t>
  </si>
  <si>
    <t xml:space="preserve">PT50000201655742829</t>
  </si>
  <si>
    <t xml:space="preserve">NL91ABNA584779555</t>
  </si>
  <si>
    <t xml:space="preserve">SEPA-2025-1027</t>
  </si>
  <si>
    <t xml:space="preserve">GR16011012500694768704</t>
  </si>
  <si>
    <t xml:space="preserve">NL91ABNA347083812</t>
  </si>
  <si>
    <t xml:space="preserve">SEPA-2025-1028</t>
  </si>
  <si>
    <t xml:space="preserve">ES9121000418172370545</t>
  </si>
  <si>
    <t xml:space="preserve">NL91ABNA133729406</t>
  </si>
  <si>
    <t xml:space="preserve">SEPA-2025-1029</t>
  </si>
  <si>
    <t xml:space="preserve">PT50000201330035022</t>
  </si>
  <si>
    <t xml:space="preserve">NL91ABNA678998028</t>
  </si>
  <si>
    <t xml:space="preserve">SEPA-2025-1030</t>
  </si>
  <si>
    <t xml:space="preserve">PT50000201967043303</t>
  </si>
  <si>
    <t xml:space="preserve">NL91ABNA537077308</t>
  </si>
  <si>
    <t xml:space="preserve">SEPA-2025-1031</t>
  </si>
  <si>
    <t xml:space="preserve">AT611904300541417711</t>
  </si>
  <si>
    <t xml:space="preserve">NL91ABNA601463916</t>
  </si>
  <si>
    <t xml:space="preserve">SEPA-2025-1032</t>
  </si>
  <si>
    <t xml:space="preserve">DE89370400366992705</t>
  </si>
  <si>
    <t xml:space="preserve">NL91ABNA305718272</t>
  </si>
  <si>
    <t xml:space="preserve">SEPA-2025-1033</t>
  </si>
  <si>
    <t xml:space="preserve">IT60X0542811596743109</t>
  </si>
  <si>
    <t xml:space="preserve">NL91ABNA368227631</t>
  </si>
  <si>
    <t xml:space="preserve">Coolblue Returns</t>
  </si>
  <si>
    <t xml:space="preserve">SEPA-2025-1034</t>
  </si>
  <si>
    <t xml:space="preserve">IE29AIBK931997677788</t>
  </si>
  <si>
    <t xml:space="preserve">NL91ABNA115846122</t>
  </si>
  <si>
    <t xml:space="preserve">SEPA-2025-1035</t>
  </si>
  <si>
    <t xml:space="preserve">ES9121000418530613729</t>
  </si>
  <si>
    <t xml:space="preserve">NL91ABNA162959284</t>
  </si>
  <si>
    <t xml:space="preserve">HEMA Webshop</t>
  </si>
  <si>
    <t xml:space="preserve">SEPA-2025-1036</t>
  </si>
  <si>
    <t xml:space="preserve">PT50000201406284028</t>
  </si>
  <si>
    <t xml:space="preserve">NL91ABNA554200826</t>
  </si>
  <si>
    <t xml:space="preserve">Zalando NL</t>
  </si>
  <si>
    <t xml:space="preserve">SEPA-2025-1037</t>
  </si>
  <si>
    <t xml:space="preserve">NL91ABNA721890096</t>
  </si>
  <si>
    <t xml:space="preserve">NL91ABNA889991777</t>
  </si>
  <si>
    <t xml:space="preserve">SEPA-2025-1038</t>
  </si>
  <si>
    <t xml:space="preserve">GR16011012500611947770</t>
  </si>
  <si>
    <t xml:space="preserve">NL91ABNA639931481</t>
  </si>
  <si>
    <t xml:space="preserve">SEPA-2025-1039</t>
  </si>
  <si>
    <t xml:space="preserve">FR1420041010173574218</t>
  </si>
  <si>
    <t xml:space="preserve">NL91ABNA738914080</t>
  </si>
  <si>
    <t xml:space="preserve">SEPA-2025-1040</t>
  </si>
  <si>
    <t xml:space="preserve">GR16011012500364371717</t>
  </si>
  <si>
    <t xml:space="preserve">NL91ABNA721609600</t>
  </si>
  <si>
    <t xml:space="preserve">SEPA-2025-1041</t>
  </si>
  <si>
    <t xml:space="preserve">GR16011012500661333669</t>
  </si>
  <si>
    <t xml:space="preserve">NL91ABNA439699535</t>
  </si>
  <si>
    <t xml:space="preserve">KPN Telecom</t>
  </si>
  <si>
    <t xml:space="preserve">SEPA-2025-1042</t>
  </si>
  <si>
    <t xml:space="preserve">IT60X0542811524971817</t>
  </si>
  <si>
    <t xml:space="preserve">NL91ABNA240529481</t>
  </si>
  <si>
    <t xml:space="preserve">SEPA-2025-1043</t>
  </si>
  <si>
    <t xml:space="preserve">GR16011012500704509817</t>
  </si>
  <si>
    <t xml:space="preserve">NL91ABNA207354053</t>
  </si>
  <si>
    <t xml:space="preserve">SEPA-2025-1044</t>
  </si>
  <si>
    <t xml:space="preserve">BE68539007173864104</t>
  </si>
  <si>
    <t xml:space="preserve">NL91ABNA362298393</t>
  </si>
  <si>
    <t xml:space="preserve">SEPA-2025-1045</t>
  </si>
  <si>
    <t xml:space="preserve">IT60X0542811756783995</t>
  </si>
  <si>
    <t xml:space="preserve">NL91ABNA966616964</t>
  </si>
  <si>
    <t xml:space="preserve">SEPA-2025-1046</t>
  </si>
  <si>
    <t xml:space="preserve">DE89370400244193987</t>
  </si>
  <si>
    <t xml:space="preserve">NL91ABNA383968123</t>
  </si>
  <si>
    <t xml:space="preserve">SEPA-2025-1047</t>
  </si>
  <si>
    <t xml:space="preserve">IT60X0542811749431082</t>
  </si>
  <si>
    <t xml:space="preserve">NL91ABNA326161867</t>
  </si>
  <si>
    <t xml:space="preserve">SEPA-2025-1048</t>
  </si>
  <si>
    <t xml:space="preserve">IE29AIBK931624557080</t>
  </si>
  <si>
    <t xml:space="preserve">NL91ABNA369639388</t>
  </si>
  <si>
    <t xml:space="preserve">SEPA-2025-1049</t>
  </si>
  <si>
    <t xml:space="preserve">NL91ABNA103807155</t>
  </si>
  <si>
    <t xml:space="preserve">NL91ABNA458153605</t>
  </si>
  <si>
    <t xml:space="preserve">SEPA-2025-1050</t>
  </si>
  <si>
    <t xml:space="preserve">AT611904300702269164</t>
  </si>
  <si>
    <t xml:space="preserve">NL91ABNA110382761</t>
  </si>
  <si>
    <t xml:space="preserve">SEPA-2025-1051</t>
  </si>
  <si>
    <t xml:space="preserve">IE29AIBK931138684919</t>
  </si>
  <si>
    <t xml:space="preserve">NL91ABNA996139578</t>
  </si>
  <si>
    <t xml:space="preserve">SEPA-2025-1052</t>
  </si>
  <si>
    <t xml:space="preserve">NL91ABNA430989881</t>
  </si>
  <si>
    <t xml:space="preserve">NL91ABNA491541578</t>
  </si>
  <si>
    <t xml:space="preserve">MediaMarkt</t>
  </si>
  <si>
    <t xml:space="preserve">SEPA-2025-1053</t>
  </si>
  <si>
    <t xml:space="preserve">DE89370400479759538</t>
  </si>
  <si>
    <t xml:space="preserve">NL91ABNA937643439</t>
  </si>
  <si>
    <t xml:space="preserve">SEPA-2025-1054</t>
  </si>
  <si>
    <t xml:space="preserve">ES9121000418274484941</t>
  </si>
  <si>
    <t xml:space="preserve">NL91ABNA958872154</t>
  </si>
  <si>
    <t xml:space="preserve">SEPA-2025-1055</t>
  </si>
  <si>
    <t xml:space="preserve">BE68539007940081098</t>
  </si>
  <si>
    <t xml:space="preserve">NL91ABNA542073642</t>
  </si>
  <si>
    <t xml:space="preserve">SEPA-2025-1056</t>
  </si>
  <si>
    <t xml:space="preserve">NL91ABNA605399561</t>
  </si>
  <si>
    <t xml:space="preserve">NL91ABNA338836384</t>
  </si>
  <si>
    <t xml:space="preserve">SEPA-2025-1057</t>
  </si>
  <si>
    <t xml:space="preserve">ES9121000418339362341</t>
  </si>
  <si>
    <t xml:space="preserve">NL91ABNA125409494</t>
  </si>
  <si>
    <t xml:space="preserve">SEPA-2025-1058</t>
  </si>
  <si>
    <t xml:space="preserve">IT60X0542811477040284</t>
  </si>
  <si>
    <t xml:space="preserve">NL91ABNA788785773</t>
  </si>
  <si>
    <t xml:space="preserve">SEPA-2025-1059</t>
  </si>
  <si>
    <t xml:space="preserve">NL91ABNA223847257</t>
  </si>
  <si>
    <t xml:space="preserve">NL91ABNA380477683</t>
  </si>
  <si>
    <t xml:space="preserve">SEPA-2025-1060</t>
  </si>
  <si>
    <t xml:space="preserve">GR16011012500566609283</t>
  </si>
  <si>
    <t xml:space="preserve">NL91ABNA471178705</t>
  </si>
  <si>
    <t xml:space="preserve">SEPA-2025-1061</t>
  </si>
  <si>
    <t xml:space="preserve">GR16011012500304095531</t>
  </si>
  <si>
    <t xml:space="preserve">NL91ABNA373506211</t>
  </si>
  <si>
    <t xml:space="preserve">SEPA-2025-1062</t>
  </si>
  <si>
    <t xml:space="preserve">IE29AIBK931837507241</t>
  </si>
  <si>
    <t xml:space="preserve">NL91ABNA872482077</t>
  </si>
  <si>
    <t xml:space="preserve">SEPA-2025-1063</t>
  </si>
  <si>
    <t xml:space="preserve">BE68539007769108025</t>
  </si>
  <si>
    <t xml:space="preserve">NL91ABNA437064353</t>
  </si>
  <si>
    <t xml:space="preserve">SEPA-2025-1064</t>
  </si>
  <si>
    <t xml:space="preserve">BE68539007532074125</t>
  </si>
  <si>
    <t xml:space="preserve">NL91ABNA848621833</t>
  </si>
  <si>
    <t xml:space="preserve">SEPA-2025-1065</t>
  </si>
  <si>
    <t xml:space="preserve">AT611904300827264603</t>
  </si>
  <si>
    <t xml:space="preserve">NL91ABNA903303363</t>
  </si>
  <si>
    <t xml:space="preserve">SEPA-2025-1066</t>
  </si>
  <si>
    <t xml:space="preserve">NL91ABNA426283245</t>
  </si>
  <si>
    <t xml:space="preserve">NL91ABNA408071259</t>
  </si>
  <si>
    <t xml:space="preserve">SEPA-2025-1067</t>
  </si>
  <si>
    <t xml:space="preserve">BE68539007599277266</t>
  </si>
  <si>
    <t xml:space="preserve">NL91ABNA574364121</t>
  </si>
  <si>
    <t xml:space="preserve">SEPA-2025-1068</t>
  </si>
  <si>
    <t xml:space="preserve">FR1420041010807435606</t>
  </si>
  <si>
    <t xml:space="preserve">NL91ABNA191048514</t>
  </si>
  <si>
    <t xml:space="preserve">SEPA-2025-1069</t>
  </si>
  <si>
    <t xml:space="preserve">DE89370400978775497</t>
  </si>
  <si>
    <t xml:space="preserve">NL91ABNA906528433</t>
  </si>
  <si>
    <t xml:space="preserve">SEPA-2025-1070</t>
  </si>
  <si>
    <t xml:space="preserve">NL91ABNA362897676</t>
  </si>
  <si>
    <t xml:space="preserve">NL91ABNA610173760</t>
  </si>
  <si>
    <t xml:space="preserve">SEPA-2025-1071</t>
  </si>
  <si>
    <t xml:space="preserve">AT611904300630833445</t>
  </si>
  <si>
    <t xml:space="preserve">NL91ABNA529123992</t>
  </si>
  <si>
    <t xml:space="preserve">SEPA-2025-1072</t>
  </si>
  <si>
    <t xml:space="preserve">DE89370400935822550</t>
  </si>
  <si>
    <t xml:space="preserve">NL91ABNA556497252</t>
  </si>
  <si>
    <t xml:space="preserve">SEPA-2025-1073</t>
  </si>
  <si>
    <t xml:space="preserve">NL91ABNA698509918</t>
  </si>
  <si>
    <t xml:space="preserve">NL91ABNA367574609</t>
  </si>
  <si>
    <t xml:space="preserve">SEPA-2025-1074</t>
  </si>
  <si>
    <t xml:space="preserve">IE29AIBK931739362057</t>
  </si>
  <si>
    <t xml:space="preserve">NL91ABNA440696084</t>
  </si>
  <si>
    <t xml:space="preserve">SEPA-2025-1075</t>
  </si>
  <si>
    <t xml:space="preserve">AT611904300991816852</t>
  </si>
  <si>
    <t xml:space="preserve">NL91ABNA688273030</t>
  </si>
  <si>
    <t xml:space="preserve">SEPA-2025-1076</t>
  </si>
  <si>
    <t xml:space="preserve">ES9121000418784683755</t>
  </si>
  <si>
    <t xml:space="preserve">NL91ABNA397760792</t>
  </si>
  <si>
    <t xml:space="preserve">SEPA-2025-1077</t>
  </si>
  <si>
    <t xml:space="preserve">DE89370400866162966</t>
  </si>
  <si>
    <t xml:space="preserve">NL91ABNA406798268</t>
  </si>
  <si>
    <t xml:space="preserve">SEPA-2025-1078</t>
  </si>
  <si>
    <t xml:space="preserve">DE89370400248578017</t>
  </si>
  <si>
    <t xml:space="preserve">NL91ABNA261953189</t>
  </si>
  <si>
    <t xml:space="preserve">SEPA-2025-1079</t>
  </si>
  <si>
    <t xml:space="preserve">DE89370400545461013</t>
  </si>
  <si>
    <t xml:space="preserve">NL91ABNA537656494</t>
  </si>
  <si>
    <t xml:space="preserve">SEPA-2025-1080</t>
  </si>
  <si>
    <t xml:space="preserve">AT611904300518197538</t>
  </si>
  <si>
    <t xml:space="preserve">NL91ABNA926561919</t>
  </si>
  <si>
    <t xml:space="preserve">SEPA-2025-1081</t>
  </si>
  <si>
    <t xml:space="preserve">BE68539007420632895</t>
  </si>
  <si>
    <t xml:space="preserve">NL91ABNA909037759</t>
  </si>
  <si>
    <t xml:space="preserve">SEPA-2025-1082</t>
  </si>
  <si>
    <t xml:space="preserve">GR16011012500336801619</t>
  </si>
  <si>
    <t xml:space="preserve">NL91ABNA624232414</t>
  </si>
  <si>
    <t xml:space="preserve">SEPA-2025-1083</t>
  </si>
  <si>
    <t xml:space="preserve">BE68539007818197581</t>
  </si>
  <si>
    <t xml:space="preserve">NL91ABNA829223044</t>
  </si>
  <si>
    <t xml:space="preserve">SEPA-2025-1084</t>
  </si>
  <si>
    <t xml:space="preserve">GR16011012500673510887</t>
  </si>
  <si>
    <t xml:space="preserve">NL91ABNA128955006</t>
  </si>
  <si>
    <t xml:space="preserve">SEPA-2025-1085</t>
  </si>
  <si>
    <t xml:space="preserve">AT611904300245706210</t>
  </si>
  <si>
    <t xml:space="preserve">NL91ABNA595744935</t>
  </si>
  <si>
    <t xml:space="preserve">SEPA-2025-1086</t>
  </si>
  <si>
    <t xml:space="preserve">PT50000201450948014</t>
  </si>
  <si>
    <t xml:space="preserve">NL91ABNA462388455</t>
  </si>
  <si>
    <t xml:space="preserve">SEPA-2025-1087</t>
  </si>
  <si>
    <t xml:space="preserve">DE89370400604988121</t>
  </si>
  <si>
    <t xml:space="preserve">NL91ABNA120812641</t>
  </si>
  <si>
    <t xml:space="preserve">SEPA-2025-1088</t>
  </si>
  <si>
    <t xml:space="preserve">DE89370400938842599</t>
  </si>
  <si>
    <t xml:space="preserve">NL91ABNA799816232</t>
  </si>
  <si>
    <t xml:space="preserve">SEPA-2025-1089</t>
  </si>
  <si>
    <t xml:space="preserve">NL91ABNA767154083</t>
  </si>
  <si>
    <t xml:space="preserve">NL91ABNA263619298</t>
  </si>
  <si>
    <t xml:space="preserve">SEPA-2025-1090</t>
  </si>
  <si>
    <t xml:space="preserve">ES9121000418599326438</t>
  </si>
  <si>
    <t xml:space="preserve">NL91ABNA851044796</t>
  </si>
  <si>
    <t xml:space="preserve">SEPA-2025-1091</t>
  </si>
  <si>
    <t xml:space="preserve">DE89370400935147672</t>
  </si>
  <si>
    <t xml:space="preserve">NL91ABNA979717936</t>
  </si>
  <si>
    <t xml:space="preserve">SEPA-2025-1092</t>
  </si>
  <si>
    <t xml:space="preserve">IT60X0542811718257024</t>
  </si>
  <si>
    <t xml:space="preserve">NL91ABNA827296111</t>
  </si>
  <si>
    <t xml:space="preserve">SEPA-2025-1093</t>
  </si>
  <si>
    <t xml:space="preserve">GR16011012500841541582</t>
  </si>
  <si>
    <t xml:space="preserve">NL91ABNA991819497</t>
  </si>
  <si>
    <t xml:space="preserve">SEPA-2025-1094</t>
  </si>
  <si>
    <t xml:space="preserve">GR16011012500964929067</t>
  </si>
  <si>
    <t xml:space="preserve">NL91ABNA229981882</t>
  </si>
  <si>
    <t xml:space="preserve">SEPA-2025-1095</t>
  </si>
  <si>
    <t xml:space="preserve">DE89370400643271261</t>
  </si>
  <si>
    <t xml:space="preserve">NL91ABNA795294275</t>
  </si>
  <si>
    <t xml:space="preserve">SEPA-2025-1096</t>
  </si>
  <si>
    <t xml:space="preserve">DE89370400565492204</t>
  </si>
  <si>
    <t xml:space="preserve">NL91ABNA488896443</t>
  </si>
  <si>
    <t xml:space="preserve">SEPA-2025-1097</t>
  </si>
  <si>
    <t xml:space="preserve">IT60X0542811761330848</t>
  </si>
  <si>
    <t xml:space="preserve">NL91ABNA967797300</t>
  </si>
  <si>
    <t xml:space="preserve">SEPA-2025-1098</t>
  </si>
  <si>
    <t xml:space="preserve">GR16011012500388187517</t>
  </si>
  <si>
    <t xml:space="preserve">NL91ABNA446071904</t>
  </si>
  <si>
    <t xml:space="preserve">SEPA-2025-1099</t>
  </si>
  <si>
    <t xml:space="preserve">PT50000201711871397</t>
  </si>
  <si>
    <t xml:space="preserve">NL91ABNA755338677</t>
  </si>
  <si>
    <t xml:space="preserve">Action B.V.</t>
  </si>
  <si>
    <t xml:space="preserve">Bank Reference ID</t>
  </si>
  <si>
    <t xml:space="preserve">Bank Date</t>
  </si>
  <si>
    <t xml:space="preserve">Bank Amount (EUR)</t>
  </si>
  <si>
    <t xml:space="preserve">IBAN</t>
  </si>
  <si>
    <t xml:space="preserve">PMT PostNL Pakket</t>
  </si>
  <si>
    <t xml:space="preserve">Vodafone</t>
  </si>
  <si>
    <t xml:space="preserve">BOOKING.COM RESERVATION</t>
  </si>
  <si>
    <t xml:space="preserve">AH Online - REF3063</t>
  </si>
  <si>
    <t xml:space="preserve">LIDL ONLINE</t>
  </si>
  <si>
    <t xml:space="preserve">Vattenfall Energy - REF6927</t>
  </si>
  <si>
    <t xml:space="preserve">MediaMarkt NL</t>
  </si>
  <si>
    <t xml:space="preserve">SEPA-2025-9000</t>
  </si>
  <si>
    <t xml:space="preserve">NL00UNKNOWN000000000</t>
  </si>
  <si>
    <t xml:space="preserve">??</t>
  </si>
  <si>
    <t xml:space="preserve">UNRECOGNIZED VENDOR</t>
  </si>
  <si>
    <t xml:space="preserve">Albert</t>
  </si>
  <si>
    <t xml:space="preserve">Vattenfall Energy - REF6039</t>
  </si>
  <si>
    <t xml:space="preserve">Bol.com Order - REF5581</t>
  </si>
  <si>
    <t xml:space="preserve">PMT ING Maandelijks</t>
  </si>
  <si>
    <t xml:space="preserve">SEPA-2025-9001</t>
  </si>
  <si>
    <t xml:space="preserve">Bol.comOrder</t>
  </si>
  <si>
    <t xml:space="preserve">AHOnline</t>
  </si>
  <si>
    <t xml:space="preserve">Lidl</t>
  </si>
  <si>
    <t xml:space="preserve">HEMA</t>
  </si>
  <si>
    <t xml:space="preserve">Coolblue Returns - REF3165</t>
  </si>
  <si>
    <t xml:space="preserve">Coolblue Returns - REF5891</t>
  </si>
  <si>
    <t xml:space="preserve">PMT Vattenfall Energy</t>
  </si>
  <si>
    <t xml:space="preserve">Vattenfall</t>
  </si>
  <si>
    <t xml:space="preserve">SEPA-2025-9002</t>
  </si>
  <si>
    <t xml:space="preserve">BOL.COM ORDER</t>
  </si>
  <si>
    <t xml:space="preserve">Bol.com Order NL</t>
  </si>
  <si>
    <t xml:space="preserve">PMT Vodafone Mobile</t>
  </si>
  <si>
    <t xml:space="preserve">Eneco</t>
  </si>
  <si>
    <t xml:space="preserve">Bol.com</t>
  </si>
  <si>
    <t xml:space="preserve">HEMAWebshop</t>
  </si>
  <si>
    <t xml:space="preserve">SpotifySubscription</t>
  </si>
  <si>
    <t xml:space="preserve">PMT HEMA Webshop</t>
  </si>
  <si>
    <t xml:space="preserve">SPOTIFY SUBSCRIPTION</t>
  </si>
  <si>
    <t xml:space="preserve">Coolblue Returns - REF7751</t>
  </si>
  <si>
    <t xml:space="preserve">Internal Date</t>
  </si>
  <si>
    <t xml:space="preserve">Date Lag (days)</t>
  </si>
  <si>
    <t xml:space="preserve">Internal Amount</t>
  </si>
  <si>
    <t xml:space="preserve">Bank Amount</t>
  </si>
  <si>
    <t xml:space="preserve">Amount Diff</t>
  </si>
  <si>
    <t xml:space="preserve">Internal Reference</t>
  </si>
  <si>
    <t xml:space="preserve">Bank Reference</t>
  </si>
  <si>
    <t xml:space="preserve">Fuzzy Ref Match?</t>
  </si>
  <si>
    <t xml:space="preserve">Within Settlement Window?</t>
  </si>
  <si>
    <t xml:space="preserve">Match Result</t>
  </si>
  <si>
    <t xml:space="preserve">N/A</t>
  </si>
  <si>
    <t xml:space="preserve">🚨 Phantom (in bank, not internal)</t>
  </si>
  <si>
    <t xml:space="preserve">SEPA Reconciliation Dashboard</t>
  </si>
  <si>
    <t xml:space="preserve">Live operational metrics — recalculates from source data and Settings</t>
  </si>
  <si>
    <t xml:space="preserve">RECONCILIATION HEALTH ALERT</t>
  </si>
  <si>
    <t xml:space="preserve">KEY OPERATIONAL METRICS</t>
  </si>
  <si>
    <t xml:space="preserve">Total Transactions</t>
  </si>
  <si>
    <t xml:space="preserve">Total Volume Processed</t>
  </si>
  <si>
    <t xml:space="preserve">Match Rate</t>
  </si>
  <si>
    <t xml:space="preserve">✅ Fully Matched</t>
  </si>
  <si>
    <t xml:space="preserve">❌ Missing in Bank</t>
  </si>
  <si>
    <t xml:space="preserve">🚨 Phantom Bank Entries</t>
  </si>
  <si>
    <t xml:space="preserve">⚠ Amount Mismatch</t>
  </si>
  <si>
    <t xml:space="preserve">⏰ Late Settlement</t>
  </si>
  <si>
    <t xml:space="preserve">⚠ Reference Mismatch</t>
  </si>
  <si>
    <t xml:space="preserve">SETTLEMENT LAG DISTRIBUTION</t>
  </si>
  <si>
    <t xml:space="preserve">STATUS BREAKDOWN</t>
  </si>
  <si>
    <t xml:space="preserve">Lag (days)</t>
  </si>
  <si>
    <t xml:space="preserve">Count</t>
  </si>
  <si>
    <t xml:space="preserve">% of Matched</t>
  </si>
  <si>
    <t xml:space="preserve">Same day (T+0)</t>
  </si>
  <si>
    <t xml:space="preserve">T+1 day</t>
  </si>
  <si>
    <t xml:space="preserve">T+2 days</t>
  </si>
  <si>
    <t xml:space="preserve">T+3 days</t>
  </si>
  <si>
    <t xml:space="preserve">Beyond window (T+4 or more)</t>
  </si>
  <si>
    <t xml:space="preserve">Manual Review Queue — Transactions needing investigation</t>
  </si>
  <si>
    <t xml:space="preserve">Filtered list of all transactions that did NOT cleanly match. Sorted by severity.</t>
  </si>
  <si>
    <t xml:space="preserve">Severity</t>
  </si>
  <si>
    <t xml:space="preserve">Issue</t>
  </si>
  <si>
    <t xml:space="preserve">Date Lag</t>
  </si>
  <si>
    <t xml:space="preserve">Reference Issue</t>
  </si>
  <si>
    <t xml:space="preserve">🔴 HIGH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</si>
</sst>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€#,##0.00"/>
    <numFmt numFmtId="166" formatCode="0.0%"/>
    <numFmt numFmtId="167" formatCode="yyyy\-mm\-dd\ hh:mm"/>
    <numFmt numFmtId="168" formatCode="yyyy\-mm\-dd"/>
    <numFmt numFmtId="169" formatCode="General"/>
    <numFmt numFmtId="170" formatCode="\€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E3A5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2"/>
      <color rgb="FFF4A261"/>
      <name val="Arial"/>
      <family val="0"/>
      <charset val="1"/>
    </font>
    <font>
      <b val="true"/>
      <sz val="16"/>
      <color rgb="FF1E3A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1E3A5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22"/>
      <color rgb="FF1E3A5F"/>
      <name val="Arial"/>
      <family val="0"/>
      <charset val="1"/>
    </font>
    <font>
      <b val="true"/>
      <sz val="22"/>
      <color rgb="FF006100"/>
      <name val="Arial"/>
      <family val="0"/>
      <charset val="1"/>
    </font>
    <font>
      <b val="true"/>
      <sz val="22"/>
      <color rgb="FF9C0006"/>
      <name val="Arial"/>
      <family val="0"/>
      <charset val="1"/>
    </font>
    <font>
      <b val="true"/>
      <sz val="22"/>
      <color rgb="FF9C5700"/>
      <name val="Arial"/>
      <family val="0"/>
      <charset val="1"/>
    </font>
    <font>
      <b val="true"/>
      <sz val="22"/>
      <color rgb="FF0070C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E3A5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EB9C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CE6F1"/>
        </patternFill>
      </fill>
    </dxf>
    <dxf>
      <fill>
        <patternFill>
          <bgColor rgb="FF006100"/>
        </patternFill>
      </fill>
    </dxf>
    <dxf>
      <fill>
        <patternFill>
          <bgColor rgb="FF9C5700"/>
        </patternFill>
      </fill>
    </dxf>
    <dxf>
      <fill>
        <patternFill>
          <bgColor rgb="FF9C0006"/>
        </patternFill>
      </fill>
    </dxf>
    <dxf>
      <fill>
        <patternFill patternType="solid">
          <fgColor rgb="FF1E3A5F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666666"/>
      <rgbColor rgb="FF800080"/>
      <rgbColor rgb="FF008080"/>
      <rgbColor rgb="FFCCCCCC"/>
      <rgbColor rgb="FF878787"/>
      <rgbColor rgb="FF9999FF"/>
      <rgbColor rgb="FFC0504D"/>
      <rgbColor rgb="FFF9F9F9"/>
      <rgbColor rgb="FFDCE6F1"/>
      <rgbColor rgb="FF660066"/>
      <rgbColor rgb="FFF4A261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E3A5F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Transaction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Dashboard!I22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Dashboard!$H$23:$H$26</c:f>
              <c:strCache>
                <c:ptCount val="4"/>
                <c:pt idx="0">
                  <c:v>Settled</c:v>
                </c:pt>
                <c:pt idx="1">
                  <c:v>Pending</c:v>
                </c:pt>
                <c:pt idx="2">
                  <c:v>Failed</c:v>
                </c:pt>
                <c:pt idx="3">
                  <c:v>Returned</c:v>
                </c:pt>
              </c:strCache>
            </c:strRef>
          </c:cat>
          <c:val>
            <c:numRef>
              <c:f>Dashboard!$I$23:$I$26</c:f>
              <c:numCache>
                <c:formatCode>General</c:formatCode>
                <c:ptCount val="4"/>
                <c:pt idx="0">
                  <c:v>70</c:v>
                </c:pt>
                <c:pt idx="1">
                  <c:v>10</c:v>
                </c:pt>
                <c:pt idx="2">
                  <c:v>6</c:v>
                </c:pt>
                <c:pt idx="3">
                  <c:v>14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Settlement Lag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Dashboard!C22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Dashboard!$B$23:$B$27</c:f>
              <c:strCache>
                <c:ptCount val="5"/>
                <c:pt idx="0">
                  <c:v>Same day (T+0)</c:v>
                </c:pt>
                <c:pt idx="1">
                  <c:v>T+1 day</c:v>
                </c:pt>
                <c:pt idx="2">
                  <c:v>T+2 days</c:v>
                </c:pt>
                <c:pt idx="3">
                  <c:v>T+3 days</c:v>
                </c:pt>
                <c:pt idx="4">
                  <c:v>Beyond window (T+4 or more)</c:v>
                </c:pt>
              </c:strCache>
            </c:strRef>
          </c:cat>
          <c:val>
            <c:numRef>
              <c:f>Dashboard!$C$23:$C$27</c:f>
              <c:numCache>
                <c:formatCode>General</c:formatCode>
                <c:ptCount val="5"/>
                <c:pt idx="0">
                  <c:v>5</c:v>
                </c:pt>
                <c:pt idx="1">
                  <c:v>43</c:v>
                </c:pt>
                <c:pt idx="2">
                  <c:v>23</c:v>
                </c:pt>
                <c:pt idx="3">
                  <c:v>11</c:v>
                </c:pt>
                <c:pt idx="4">
                  <c:v>12</c:v>
                </c:pt>
              </c:numCache>
            </c:numRef>
          </c:val>
        </c:ser>
        <c:gapWidth val="150"/>
        <c:overlap val="0"/>
        <c:axId val="50846359"/>
        <c:axId val="57309855"/>
      </c:barChart>
      <c:catAx>
        <c:axId val="508463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 lag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09855"/>
        <c:crosses val="autoZero"/>
        <c:auto val="1"/>
        <c:lblAlgn val="ctr"/>
        <c:lblOffset val="100"/>
        <c:noMultiLvlLbl val="0"/>
      </c:catAx>
      <c:valAx>
        <c:axId val="573098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Transactions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463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26</xdr:row>
      <xdr:rowOff>1800</xdr:rowOff>
    </xdr:from>
    <xdr:to>
      <xdr:col>10</xdr:col>
      <xdr:colOff>387720</xdr:colOff>
      <xdr:row>39</xdr:row>
      <xdr:rowOff>45000</xdr:rowOff>
    </xdr:to>
    <xdr:graphicFrame>
      <xdr:nvGraphicFramePr>
        <xdr:cNvPr id="0" name="Chart 1"/>
        <xdr:cNvGraphicFramePr/>
      </xdr:nvGraphicFramePr>
      <xdr:xfrm>
        <a:off x="6625440" y="552456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26</xdr:row>
      <xdr:rowOff>1800</xdr:rowOff>
    </xdr:from>
    <xdr:to>
      <xdr:col>4</xdr:col>
      <xdr:colOff>717480</xdr:colOff>
      <xdr:row>39</xdr:row>
      <xdr:rowOff>45000</xdr:rowOff>
    </xdr:to>
    <xdr:graphicFrame>
      <xdr:nvGraphicFramePr>
        <xdr:cNvPr id="1" name="Chart 2"/>
        <xdr:cNvGraphicFramePr/>
      </xdr:nvGraphicFramePr>
      <xdr:xfrm>
        <a:off x="141120" y="552456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2</v>
      </c>
    </row>
    <row r="7" customFormat="false" ht="15" hidden="false" customHeight="false" outlineLevel="0" collapsed="false">
      <c r="B7" s="3"/>
    </row>
    <row r="8" customFormat="false" ht="15" hidden="false" customHeight="false" outlineLevel="0" collapsed="false">
      <c r="B8" s="3" t="s">
        <v>3</v>
      </c>
    </row>
    <row r="9" customFormat="false" ht="15" hidden="false" customHeight="false" outlineLevel="0" collapsed="false">
      <c r="B9" s="3" t="s">
        <v>4</v>
      </c>
    </row>
    <row r="10" customFormat="false" ht="15" hidden="false" customHeight="false" outlineLevel="0" collapsed="false">
      <c r="B10" s="3" t="s">
        <v>5</v>
      </c>
    </row>
    <row r="11" customFormat="false" ht="15" hidden="false" customHeight="false" outlineLevel="0" collapsed="false">
      <c r="B11" s="3" t="s">
        <v>6</v>
      </c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4" t="s">
        <v>7</v>
      </c>
    </row>
    <row r="14" customFormat="false" ht="15" hidden="false" customHeight="false" outlineLevel="0" collapsed="false">
      <c r="B14" s="3"/>
    </row>
    <row r="15" customFormat="false" ht="15" hidden="false" customHeight="false" outlineLevel="0" collapsed="false">
      <c r="B15" s="3" t="s">
        <v>8</v>
      </c>
    </row>
    <row r="16" customFormat="false" ht="15" hidden="false" customHeight="false" outlineLevel="0" collapsed="false">
      <c r="B16" s="3" t="s">
        <v>9</v>
      </c>
    </row>
    <row r="17" customFormat="false" ht="15" hidden="false" customHeight="false" outlineLevel="0" collapsed="false">
      <c r="B17" s="3" t="s">
        <v>10</v>
      </c>
    </row>
    <row r="18" customFormat="false" ht="15" hidden="false" customHeight="false" outlineLevel="0" collapsed="false">
      <c r="B18" s="3" t="s">
        <v>11</v>
      </c>
    </row>
    <row r="19" customFormat="false" ht="15" hidden="false" customHeight="false" outlineLevel="0" collapsed="false">
      <c r="B19" s="3" t="s">
        <v>12</v>
      </c>
    </row>
    <row r="20" customFormat="false" ht="15" hidden="false" customHeight="false" outlineLevel="0" collapsed="false">
      <c r="B20" s="3" t="s">
        <v>13</v>
      </c>
    </row>
    <row r="21" customFormat="false" ht="15" hidden="false" customHeight="false" outlineLevel="0" collapsed="false">
      <c r="B21" s="3"/>
    </row>
    <row r="22" customFormat="false" ht="15" hidden="false" customHeight="false" outlineLevel="0" collapsed="false">
      <c r="B22" s="4" t="s">
        <v>14</v>
      </c>
    </row>
    <row r="23" customFormat="false" ht="15" hidden="false" customHeight="false" outlineLevel="0" collapsed="false">
      <c r="B23" s="3"/>
    </row>
    <row r="24" customFormat="false" ht="15" hidden="false" customHeight="false" outlineLevel="0" collapsed="false">
      <c r="B24" s="3" t="s">
        <v>15</v>
      </c>
    </row>
    <row r="25" customFormat="false" ht="15" hidden="false" customHeight="false" outlineLevel="0" collapsed="false">
      <c r="B25" s="3" t="s">
        <v>16</v>
      </c>
    </row>
    <row r="26" customFormat="false" ht="15" hidden="false" customHeight="false" outlineLevel="0" collapsed="false">
      <c r="B26" s="3"/>
    </row>
    <row r="27" customFormat="false" ht="15" hidden="false" customHeight="false" outlineLevel="0" collapsed="false">
      <c r="B27" s="3" t="s">
        <v>17</v>
      </c>
    </row>
    <row r="28" customFormat="false" ht="15" hidden="false" customHeight="false" outlineLevel="0" collapsed="false">
      <c r="B28" s="3" t="s">
        <v>18</v>
      </c>
    </row>
    <row r="29" customFormat="false" ht="15" hidden="false" customHeight="false" outlineLevel="0" collapsed="false">
      <c r="B29" s="3"/>
    </row>
    <row r="30" customFormat="false" ht="15" hidden="false" customHeight="false" outlineLevel="0" collapsed="false">
      <c r="B30" s="3" t="s">
        <v>19</v>
      </c>
    </row>
    <row r="31" customFormat="false" ht="15" hidden="false" customHeight="false" outlineLevel="0" collapsed="false">
      <c r="B31" s="3" t="s">
        <v>20</v>
      </c>
    </row>
    <row r="32" customFormat="false" ht="15" hidden="false" customHeight="false" outlineLevel="0" collapsed="false">
      <c r="B32" s="3"/>
    </row>
    <row r="33" customFormat="false" ht="15" hidden="false" customHeight="false" outlineLevel="0" collapsed="false">
      <c r="B33" s="3" t="s">
        <v>21</v>
      </c>
    </row>
    <row r="34" customFormat="false" ht="15" hidden="false" customHeight="false" outlineLevel="0" collapsed="false">
      <c r="B34" s="3" t="s">
        <v>22</v>
      </c>
    </row>
    <row r="35" customFormat="false" ht="15" hidden="false" customHeight="false" outlineLevel="0" collapsed="false">
      <c r="B35" s="3"/>
    </row>
    <row r="36" customFormat="false" ht="15" hidden="false" customHeight="false" outlineLevel="0" collapsed="false">
      <c r="B36" s="4" t="s">
        <v>23</v>
      </c>
    </row>
    <row r="37" customFormat="false" ht="15" hidden="false" customHeight="false" outlineLevel="0" collapsed="false">
      <c r="B37" s="3"/>
    </row>
    <row r="38" customFormat="false" ht="15" hidden="false" customHeight="false" outlineLevel="0" collapsed="false">
      <c r="B38" s="3" t="s">
        <v>24</v>
      </c>
    </row>
    <row r="39" customFormat="false" ht="15" hidden="false" customHeight="false" outlineLevel="0" collapsed="false">
      <c r="B39" s="3" t="s">
        <v>25</v>
      </c>
    </row>
    <row r="40" customFormat="false" ht="15" hidden="false" customHeight="false" outlineLevel="0" collapsed="false">
      <c r="B40" s="3" t="s">
        <v>26</v>
      </c>
    </row>
    <row r="41" customFormat="false" ht="15" hidden="false" customHeight="false" outlineLevel="0" collapsed="false">
      <c r="B41" s="3" t="s">
        <v>27</v>
      </c>
    </row>
    <row r="42" customFormat="false" ht="15" hidden="false" customHeight="false" outlineLevel="0" collapsed="false">
      <c r="B42" s="3" t="s">
        <v>28</v>
      </c>
    </row>
    <row r="43" customFormat="false" ht="15" hidden="false" customHeight="false" outlineLevel="0" collapsed="false">
      <c r="B43" s="3" t="s">
        <v>29</v>
      </c>
    </row>
    <row r="44" customFormat="false" ht="15" hidden="false" customHeight="false" outlineLevel="0" collapsed="false">
      <c r="B44" s="3" t="s">
        <v>30</v>
      </c>
    </row>
    <row r="45" customFormat="false" ht="15" hidden="false" customHeight="false" outlineLevel="0" collapsed="false">
      <c r="B45" s="3"/>
    </row>
    <row r="46" customFormat="false" ht="15" hidden="false" customHeight="false" outlineLevel="0" collapsed="false">
      <c r="B46" s="4" t="s">
        <v>31</v>
      </c>
    </row>
    <row r="47" customFormat="false" ht="15" hidden="false" customHeight="false" outlineLevel="0" collapsed="false">
      <c r="B47" s="3"/>
    </row>
    <row r="48" customFormat="false" ht="15" hidden="false" customHeight="false" outlineLevel="0" collapsed="false">
      <c r="B48" s="3" t="s">
        <v>32</v>
      </c>
    </row>
    <row r="49" customFormat="false" ht="15" hidden="false" customHeight="false" outlineLevel="0" collapsed="false">
      <c r="B49" s="3" t="s">
        <v>33</v>
      </c>
    </row>
    <row r="50" customFormat="false" ht="15" hidden="false" customHeight="false" outlineLevel="0" collapsed="false">
      <c r="B50" s="3" t="s">
        <v>34</v>
      </c>
    </row>
    <row r="51" customFormat="false" ht="15" hidden="false" customHeight="false" outlineLevel="0" collapsed="false">
      <c r="B51" s="3" t="s">
        <v>35</v>
      </c>
    </row>
    <row r="52" customFormat="false" ht="15" hidden="false" customHeight="false" outlineLevel="0" collapsed="false">
      <c r="B52" s="3"/>
    </row>
    <row r="53" customFormat="false" ht="15" hidden="false" customHeight="false" outlineLevel="0" collapsed="false">
      <c r="B53" s="4" t="s">
        <v>36</v>
      </c>
    </row>
    <row r="54" customFormat="false" ht="15" hidden="false" customHeight="false" outlineLevel="0" collapsed="false">
      <c r="B54" s="3"/>
    </row>
    <row r="55" customFormat="false" ht="15" hidden="false" customHeight="false" outlineLevel="0" collapsed="false">
      <c r="B55" s="3" t="s">
        <v>37</v>
      </c>
    </row>
    <row r="56" customFormat="false" ht="15" hidden="false" customHeight="false" outlineLevel="0" collapsed="false">
      <c r="B56" s="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80"/>
  </cols>
  <sheetData>
    <row r="2" customFormat="false" ht="19.7" hidden="false" customHeight="false" outlineLevel="0" collapsed="false">
      <c r="B2" s="5" t="s">
        <v>39</v>
      </c>
    </row>
    <row r="3" customFormat="false" ht="15" hidden="false" customHeight="false" outlineLevel="0" collapsed="false">
      <c r="B3" s="6" t="s">
        <v>40</v>
      </c>
    </row>
    <row r="5" customFormat="false" ht="15" hidden="false" customHeight="false" outlineLevel="0" collapsed="false">
      <c r="B5" s="7" t="s">
        <v>41</v>
      </c>
      <c r="C5" s="7" t="s">
        <v>42</v>
      </c>
      <c r="D5" s="7" t="s">
        <v>43</v>
      </c>
    </row>
    <row r="6" customFormat="false" ht="15" hidden="false" customHeight="false" outlineLevel="0" collapsed="false">
      <c r="B6" s="8" t="s">
        <v>44</v>
      </c>
      <c r="C6" s="9" t="n">
        <v>3</v>
      </c>
      <c r="D6" s="10" t="s">
        <v>45</v>
      </c>
    </row>
    <row r="7" customFormat="false" ht="15" hidden="false" customHeight="false" outlineLevel="0" collapsed="false">
      <c r="B7" s="8" t="s">
        <v>46</v>
      </c>
      <c r="C7" s="11" t="n">
        <v>0.01</v>
      </c>
      <c r="D7" s="10" t="s">
        <v>47</v>
      </c>
    </row>
    <row r="8" customFormat="false" ht="15" hidden="false" customHeight="false" outlineLevel="0" collapsed="false">
      <c r="B8" s="8" t="s">
        <v>48</v>
      </c>
      <c r="C8" s="12" t="n">
        <v>0.95</v>
      </c>
      <c r="D8" s="10" t="s">
        <v>49</v>
      </c>
    </row>
    <row r="9" customFormat="false" ht="15" hidden="false" customHeight="false" outlineLevel="0" collapsed="false">
      <c r="B9" s="8" t="s">
        <v>50</v>
      </c>
      <c r="C9" s="12" t="n">
        <v>0.85</v>
      </c>
      <c r="D9" s="10" t="s">
        <v>51</v>
      </c>
    </row>
    <row r="10" customFormat="false" ht="15" hidden="false" customHeight="false" outlineLevel="0" collapsed="false">
      <c r="B10" s="8" t="s">
        <v>52</v>
      </c>
      <c r="C10" s="9" t="s">
        <v>53</v>
      </c>
      <c r="D10" s="10" t="s">
        <v>54</v>
      </c>
    </row>
    <row r="13" customFormat="false" ht="15" hidden="false" customHeight="false" outlineLevel="0" collapsed="false">
      <c r="B13" s="13" t="s">
        <v>55</v>
      </c>
    </row>
    <row r="14" customFormat="false" ht="15" hidden="false" customHeight="false" outlineLevel="0" collapsed="false">
      <c r="B14" s="1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4"/>
    <col collapsed="false" customWidth="true" hidden="false" outlineLevel="0" max="5" min="4" style="0" width="2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4" t="s">
        <v>57</v>
      </c>
      <c r="B1" s="14" t="s">
        <v>58</v>
      </c>
      <c r="C1" s="14" t="s">
        <v>59</v>
      </c>
      <c r="D1" s="14" t="s">
        <v>60</v>
      </c>
      <c r="E1" s="14" t="s">
        <v>61</v>
      </c>
      <c r="F1" s="14" t="s">
        <v>62</v>
      </c>
      <c r="G1" s="14" t="s">
        <v>63</v>
      </c>
      <c r="H1" s="14" t="s">
        <v>64</v>
      </c>
    </row>
    <row r="2" customFormat="false" ht="15" hidden="false" customHeight="false" outlineLevel="0" collapsed="false">
      <c r="A2" s="15" t="s">
        <v>65</v>
      </c>
      <c r="B2" s="16" t="n">
        <v>45951.125</v>
      </c>
      <c r="C2" s="17" t="n">
        <v>67.4</v>
      </c>
      <c r="D2" s="15" t="s">
        <v>66</v>
      </c>
      <c r="E2" s="15" t="s">
        <v>67</v>
      </c>
      <c r="F2" s="15" t="s">
        <v>68</v>
      </c>
      <c r="G2" s="15" t="s">
        <v>69</v>
      </c>
      <c r="H2" s="15" t="s">
        <v>70</v>
      </c>
    </row>
    <row r="3" customFormat="false" ht="15" hidden="false" customHeight="false" outlineLevel="0" collapsed="false">
      <c r="A3" s="15" t="s">
        <v>71</v>
      </c>
      <c r="B3" s="16" t="n">
        <v>45952.9583333333</v>
      </c>
      <c r="C3" s="17" t="n">
        <v>2230.99</v>
      </c>
      <c r="D3" s="15" t="s">
        <v>72</v>
      </c>
      <c r="E3" s="15" t="s">
        <v>73</v>
      </c>
      <c r="F3" s="15" t="s">
        <v>74</v>
      </c>
      <c r="G3" s="15" t="s">
        <v>69</v>
      </c>
      <c r="H3" s="15" t="s">
        <v>75</v>
      </c>
    </row>
    <row r="4" customFormat="false" ht="15" hidden="false" customHeight="false" outlineLevel="0" collapsed="false">
      <c r="A4" s="15" t="s">
        <v>76</v>
      </c>
      <c r="B4" s="16" t="n">
        <v>45933.25</v>
      </c>
      <c r="C4" s="17" t="n">
        <v>585.49</v>
      </c>
      <c r="D4" s="15" t="s">
        <v>77</v>
      </c>
      <c r="E4" s="15" t="s">
        <v>78</v>
      </c>
      <c r="F4" s="15" t="s">
        <v>79</v>
      </c>
      <c r="G4" s="15" t="s">
        <v>69</v>
      </c>
      <c r="H4" s="15" t="s">
        <v>80</v>
      </c>
    </row>
    <row r="5" customFormat="false" ht="15" hidden="false" customHeight="false" outlineLevel="0" collapsed="false">
      <c r="A5" s="15" t="s">
        <v>81</v>
      </c>
      <c r="B5" s="16" t="n">
        <v>45944.2916666667</v>
      </c>
      <c r="C5" s="17" t="n">
        <v>1125.78</v>
      </c>
      <c r="D5" s="15" t="s">
        <v>82</v>
      </c>
      <c r="E5" s="15" t="s">
        <v>83</v>
      </c>
      <c r="F5" s="15" t="s">
        <v>68</v>
      </c>
      <c r="G5" s="15" t="s">
        <v>69</v>
      </c>
      <c r="H5" s="15" t="s">
        <v>84</v>
      </c>
    </row>
    <row r="6" customFormat="false" ht="15" hidden="false" customHeight="false" outlineLevel="0" collapsed="false">
      <c r="A6" s="15" t="s">
        <v>85</v>
      </c>
      <c r="B6" s="16" t="n">
        <v>45941.3333333333</v>
      </c>
      <c r="C6" s="17" t="n">
        <v>392.92</v>
      </c>
      <c r="D6" s="15" t="s">
        <v>86</v>
      </c>
      <c r="E6" s="15" t="s">
        <v>87</v>
      </c>
      <c r="F6" s="15" t="s">
        <v>88</v>
      </c>
      <c r="G6" s="15" t="s">
        <v>89</v>
      </c>
      <c r="H6" s="15" t="s">
        <v>70</v>
      </c>
    </row>
    <row r="7" customFormat="false" ht="15" hidden="false" customHeight="false" outlineLevel="0" collapsed="false">
      <c r="A7" s="15" t="s">
        <v>90</v>
      </c>
      <c r="B7" s="16" t="n">
        <v>45942.4583333333</v>
      </c>
      <c r="C7" s="17" t="n">
        <v>1511.3</v>
      </c>
      <c r="D7" s="15" t="s">
        <v>91</v>
      </c>
      <c r="E7" s="15" t="s">
        <v>92</v>
      </c>
      <c r="F7" s="15" t="s">
        <v>93</v>
      </c>
      <c r="G7" s="15" t="s">
        <v>94</v>
      </c>
      <c r="H7" s="15" t="s">
        <v>70</v>
      </c>
    </row>
    <row r="8" customFormat="false" ht="15" hidden="false" customHeight="false" outlineLevel="0" collapsed="false">
      <c r="A8" s="15" t="s">
        <v>95</v>
      </c>
      <c r="B8" s="16" t="n">
        <v>45960.5</v>
      </c>
      <c r="C8" s="17" t="n">
        <v>201.61</v>
      </c>
      <c r="D8" s="15" t="s">
        <v>96</v>
      </c>
      <c r="E8" s="15" t="s">
        <v>97</v>
      </c>
      <c r="F8" s="15" t="s">
        <v>68</v>
      </c>
      <c r="G8" s="15" t="s">
        <v>69</v>
      </c>
      <c r="H8" s="15" t="s">
        <v>98</v>
      </c>
    </row>
    <row r="9" customFormat="false" ht="15" hidden="false" customHeight="false" outlineLevel="0" collapsed="false">
      <c r="A9" s="15" t="s">
        <v>99</v>
      </c>
      <c r="B9" s="16" t="n">
        <v>45937.9166666667</v>
      </c>
      <c r="C9" s="17" t="n">
        <v>178.54</v>
      </c>
      <c r="D9" s="15" t="s">
        <v>100</v>
      </c>
      <c r="E9" s="15" t="s">
        <v>101</v>
      </c>
      <c r="F9" s="15" t="s">
        <v>102</v>
      </c>
      <c r="G9" s="15" t="s">
        <v>69</v>
      </c>
      <c r="H9" s="15" t="s">
        <v>103</v>
      </c>
    </row>
    <row r="10" customFormat="false" ht="15" hidden="false" customHeight="false" outlineLevel="0" collapsed="false">
      <c r="A10" s="15" t="s">
        <v>104</v>
      </c>
      <c r="B10" s="16" t="n">
        <v>45958.125</v>
      </c>
      <c r="C10" s="17" t="n">
        <v>953.41</v>
      </c>
      <c r="D10" s="15" t="s">
        <v>105</v>
      </c>
      <c r="E10" s="15" t="s">
        <v>106</v>
      </c>
      <c r="F10" s="15" t="s">
        <v>107</v>
      </c>
      <c r="G10" s="15" t="s">
        <v>69</v>
      </c>
      <c r="H10" s="15" t="s">
        <v>108</v>
      </c>
    </row>
    <row r="11" customFormat="false" ht="15" hidden="false" customHeight="false" outlineLevel="0" collapsed="false">
      <c r="A11" s="15" t="s">
        <v>109</v>
      </c>
      <c r="B11" s="16" t="n">
        <v>45942.4583333333</v>
      </c>
      <c r="C11" s="17" t="n">
        <v>527.72</v>
      </c>
      <c r="D11" s="15" t="s">
        <v>110</v>
      </c>
      <c r="E11" s="15" t="s">
        <v>111</v>
      </c>
      <c r="F11" s="15" t="s">
        <v>68</v>
      </c>
      <c r="G11" s="15" t="s">
        <v>69</v>
      </c>
      <c r="H11" s="15" t="s">
        <v>112</v>
      </c>
    </row>
    <row r="12" customFormat="false" ht="15" hidden="false" customHeight="false" outlineLevel="0" collapsed="false">
      <c r="A12" s="15" t="s">
        <v>113</v>
      </c>
      <c r="B12" s="16" t="n">
        <v>45951.2083333333</v>
      </c>
      <c r="C12" s="17" t="n">
        <v>1337.68</v>
      </c>
      <c r="D12" s="15" t="s">
        <v>114</v>
      </c>
      <c r="E12" s="15" t="s">
        <v>115</v>
      </c>
      <c r="F12" s="15" t="s">
        <v>102</v>
      </c>
      <c r="G12" s="15" t="s">
        <v>89</v>
      </c>
      <c r="H12" s="15" t="s">
        <v>116</v>
      </c>
    </row>
    <row r="13" customFormat="false" ht="15" hidden="false" customHeight="false" outlineLevel="0" collapsed="false">
      <c r="A13" s="15" t="s">
        <v>117</v>
      </c>
      <c r="B13" s="16" t="n">
        <v>45960.8333333333</v>
      </c>
      <c r="C13" s="17" t="n">
        <v>1721.96</v>
      </c>
      <c r="D13" s="15" t="s">
        <v>118</v>
      </c>
      <c r="E13" s="15" t="s">
        <v>119</v>
      </c>
      <c r="F13" s="15" t="s">
        <v>102</v>
      </c>
      <c r="G13" s="15" t="s">
        <v>69</v>
      </c>
      <c r="H13" s="15" t="s">
        <v>103</v>
      </c>
    </row>
    <row r="14" customFormat="false" ht="15" hidden="false" customHeight="false" outlineLevel="0" collapsed="false">
      <c r="A14" s="15" t="s">
        <v>120</v>
      </c>
      <c r="B14" s="16" t="n">
        <v>45957.0416666667</v>
      </c>
      <c r="C14" s="17" t="n">
        <v>2013.59</v>
      </c>
      <c r="D14" s="15" t="s">
        <v>121</v>
      </c>
      <c r="E14" s="15" t="s">
        <v>122</v>
      </c>
      <c r="F14" s="15" t="s">
        <v>123</v>
      </c>
      <c r="G14" s="15" t="s">
        <v>69</v>
      </c>
      <c r="H14" s="15" t="s">
        <v>98</v>
      </c>
    </row>
    <row r="15" customFormat="false" ht="15" hidden="false" customHeight="false" outlineLevel="0" collapsed="false">
      <c r="A15" s="15" t="s">
        <v>124</v>
      </c>
      <c r="B15" s="16" t="n">
        <v>45959.9166666667</v>
      </c>
      <c r="C15" s="17" t="n">
        <v>790.12</v>
      </c>
      <c r="D15" s="15" t="s">
        <v>125</v>
      </c>
      <c r="E15" s="15" t="s">
        <v>126</v>
      </c>
      <c r="F15" s="15" t="s">
        <v>107</v>
      </c>
      <c r="G15" s="15" t="s">
        <v>127</v>
      </c>
      <c r="H15" s="15" t="s">
        <v>128</v>
      </c>
    </row>
    <row r="16" customFormat="false" ht="15" hidden="false" customHeight="false" outlineLevel="0" collapsed="false">
      <c r="A16" s="15" t="s">
        <v>129</v>
      </c>
      <c r="B16" s="16" t="n">
        <v>45939.1666666667</v>
      </c>
      <c r="C16" s="17" t="n">
        <v>620.34</v>
      </c>
      <c r="D16" s="15" t="s">
        <v>130</v>
      </c>
      <c r="E16" s="15" t="s">
        <v>131</v>
      </c>
      <c r="F16" s="15" t="s">
        <v>132</v>
      </c>
      <c r="G16" s="15" t="s">
        <v>89</v>
      </c>
      <c r="H16" s="15" t="s">
        <v>98</v>
      </c>
    </row>
    <row r="17" customFormat="false" ht="15" hidden="false" customHeight="false" outlineLevel="0" collapsed="false">
      <c r="A17" s="15" t="s">
        <v>133</v>
      </c>
      <c r="B17" s="16" t="n">
        <v>45943.4583333333</v>
      </c>
      <c r="C17" s="17" t="n">
        <v>552.21</v>
      </c>
      <c r="D17" s="15" t="s">
        <v>134</v>
      </c>
      <c r="E17" s="15" t="s">
        <v>135</v>
      </c>
      <c r="F17" s="15" t="s">
        <v>136</v>
      </c>
      <c r="G17" s="15" t="s">
        <v>69</v>
      </c>
      <c r="H17" s="15" t="s">
        <v>137</v>
      </c>
    </row>
    <row r="18" customFormat="false" ht="15" hidden="false" customHeight="false" outlineLevel="0" collapsed="false">
      <c r="A18" s="15" t="s">
        <v>138</v>
      </c>
      <c r="B18" s="16" t="n">
        <v>45958.125</v>
      </c>
      <c r="C18" s="17" t="n">
        <v>386.34</v>
      </c>
      <c r="D18" s="15" t="s">
        <v>139</v>
      </c>
      <c r="E18" s="15" t="s">
        <v>140</v>
      </c>
      <c r="F18" s="15" t="s">
        <v>136</v>
      </c>
      <c r="G18" s="15" t="s">
        <v>89</v>
      </c>
      <c r="H18" s="15" t="s">
        <v>112</v>
      </c>
    </row>
    <row r="19" customFormat="false" ht="15" hidden="false" customHeight="false" outlineLevel="0" collapsed="false">
      <c r="A19" s="15" t="s">
        <v>141</v>
      </c>
      <c r="B19" s="16" t="n">
        <v>45933.5</v>
      </c>
      <c r="C19" s="17" t="n">
        <v>957.14</v>
      </c>
      <c r="D19" s="15" t="s">
        <v>142</v>
      </c>
      <c r="E19" s="15" t="s">
        <v>143</v>
      </c>
      <c r="F19" s="15" t="s">
        <v>107</v>
      </c>
      <c r="G19" s="15" t="s">
        <v>94</v>
      </c>
      <c r="H19" s="15" t="s">
        <v>75</v>
      </c>
    </row>
    <row r="20" customFormat="false" ht="15" hidden="false" customHeight="false" outlineLevel="0" collapsed="false">
      <c r="A20" s="15" t="s">
        <v>144</v>
      </c>
      <c r="B20" s="16" t="n">
        <v>45952.9583333333</v>
      </c>
      <c r="C20" s="17" t="n">
        <v>290.81</v>
      </c>
      <c r="D20" s="15" t="s">
        <v>145</v>
      </c>
      <c r="E20" s="15" t="s">
        <v>146</v>
      </c>
      <c r="F20" s="15" t="s">
        <v>132</v>
      </c>
      <c r="G20" s="15" t="s">
        <v>69</v>
      </c>
      <c r="H20" s="15" t="s">
        <v>70</v>
      </c>
    </row>
    <row r="21" customFormat="false" ht="15" hidden="false" customHeight="false" outlineLevel="0" collapsed="false">
      <c r="A21" s="15" t="s">
        <v>147</v>
      </c>
      <c r="B21" s="16" t="n">
        <v>45940.5416666667</v>
      </c>
      <c r="C21" s="17" t="n">
        <v>399.6</v>
      </c>
      <c r="D21" s="15" t="s">
        <v>148</v>
      </c>
      <c r="E21" s="15" t="s">
        <v>149</v>
      </c>
      <c r="F21" s="15" t="s">
        <v>93</v>
      </c>
      <c r="G21" s="15" t="s">
        <v>69</v>
      </c>
      <c r="H21" s="15" t="s">
        <v>150</v>
      </c>
    </row>
    <row r="22" customFormat="false" ht="15" hidden="false" customHeight="false" outlineLevel="0" collapsed="false">
      <c r="A22" s="15" t="s">
        <v>151</v>
      </c>
      <c r="B22" s="16" t="n">
        <v>45955.2083333333</v>
      </c>
      <c r="C22" s="17" t="n">
        <v>1271.67</v>
      </c>
      <c r="D22" s="15" t="s">
        <v>152</v>
      </c>
      <c r="E22" s="15" t="s">
        <v>153</v>
      </c>
      <c r="F22" s="15" t="s">
        <v>74</v>
      </c>
      <c r="G22" s="15" t="s">
        <v>94</v>
      </c>
      <c r="H22" s="15" t="s">
        <v>112</v>
      </c>
    </row>
    <row r="23" customFormat="false" ht="15" hidden="false" customHeight="false" outlineLevel="0" collapsed="false">
      <c r="A23" s="15" t="s">
        <v>154</v>
      </c>
      <c r="B23" s="16" t="n">
        <v>45937.1666666667</v>
      </c>
      <c r="C23" s="17" t="n">
        <v>937.92</v>
      </c>
      <c r="D23" s="15" t="s">
        <v>155</v>
      </c>
      <c r="E23" s="15" t="s">
        <v>156</v>
      </c>
      <c r="F23" s="15" t="s">
        <v>136</v>
      </c>
      <c r="G23" s="15" t="s">
        <v>94</v>
      </c>
      <c r="H23" s="15" t="s">
        <v>75</v>
      </c>
    </row>
    <row r="24" customFormat="false" ht="15" hidden="false" customHeight="false" outlineLevel="0" collapsed="false">
      <c r="A24" s="15" t="s">
        <v>157</v>
      </c>
      <c r="B24" s="16" t="n">
        <v>45950.4166666667</v>
      </c>
      <c r="C24" s="17" t="n">
        <v>1224.07</v>
      </c>
      <c r="D24" s="15" t="s">
        <v>158</v>
      </c>
      <c r="E24" s="15" t="s">
        <v>159</v>
      </c>
      <c r="F24" s="15" t="s">
        <v>74</v>
      </c>
      <c r="G24" s="15" t="s">
        <v>69</v>
      </c>
      <c r="H24" s="15" t="s">
        <v>103</v>
      </c>
    </row>
    <row r="25" customFormat="false" ht="15" hidden="false" customHeight="false" outlineLevel="0" collapsed="false">
      <c r="A25" s="15" t="s">
        <v>160</v>
      </c>
      <c r="B25" s="16" t="n">
        <v>45932.2916666667</v>
      </c>
      <c r="C25" s="17" t="n">
        <v>2195.63</v>
      </c>
      <c r="D25" s="15" t="s">
        <v>161</v>
      </c>
      <c r="E25" s="15" t="s">
        <v>162</v>
      </c>
      <c r="F25" s="15" t="s">
        <v>74</v>
      </c>
      <c r="G25" s="15" t="s">
        <v>127</v>
      </c>
      <c r="H25" s="15" t="s">
        <v>163</v>
      </c>
    </row>
    <row r="26" customFormat="false" ht="15" hidden="false" customHeight="false" outlineLevel="0" collapsed="false">
      <c r="A26" s="15" t="s">
        <v>164</v>
      </c>
      <c r="B26" s="16" t="n">
        <v>45955.7083333333</v>
      </c>
      <c r="C26" s="17" t="n">
        <v>1915.76</v>
      </c>
      <c r="D26" s="15" t="s">
        <v>165</v>
      </c>
      <c r="E26" s="15" t="s">
        <v>166</v>
      </c>
      <c r="F26" s="15" t="s">
        <v>136</v>
      </c>
      <c r="G26" s="15" t="s">
        <v>94</v>
      </c>
      <c r="H26" s="15" t="s">
        <v>108</v>
      </c>
    </row>
    <row r="27" customFormat="false" ht="15" hidden="false" customHeight="false" outlineLevel="0" collapsed="false">
      <c r="A27" s="15" t="s">
        <v>167</v>
      </c>
      <c r="B27" s="16" t="n">
        <v>45939.6666666667</v>
      </c>
      <c r="C27" s="17" t="n">
        <v>2181.72</v>
      </c>
      <c r="D27" s="15" t="s">
        <v>168</v>
      </c>
      <c r="E27" s="15" t="s">
        <v>169</v>
      </c>
      <c r="F27" s="15" t="s">
        <v>123</v>
      </c>
      <c r="G27" s="15" t="s">
        <v>69</v>
      </c>
      <c r="H27" s="15" t="s">
        <v>170</v>
      </c>
    </row>
    <row r="28" customFormat="false" ht="15" hidden="false" customHeight="false" outlineLevel="0" collapsed="false">
      <c r="A28" s="15" t="s">
        <v>171</v>
      </c>
      <c r="B28" s="16" t="n">
        <v>45943.875</v>
      </c>
      <c r="C28" s="17" t="n">
        <v>1626.45</v>
      </c>
      <c r="D28" s="15" t="s">
        <v>172</v>
      </c>
      <c r="E28" s="15" t="s">
        <v>173</v>
      </c>
      <c r="F28" s="15" t="s">
        <v>107</v>
      </c>
      <c r="G28" s="15" t="s">
        <v>69</v>
      </c>
      <c r="H28" s="15" t="s">
        <v>103</v>
      </c>
    </row>
    <row r="29" customFormat="false" ht="15" hidden="false" customHeight="false" outlineLevel="0" collapsed="false">
      <c r="A29" s="15" t="s">
        <v>174</v>
      </c>
      <c r="B29" s="16" t="n">
        <v>45938.0833333333</v>
      </c>
      <c r="C29" s="17" t="n">
        <v>848.52</v>
      </c>
      <c r="D29" s="15" t="s">
        <v>175</v>
      </c>
      <c r="E29" s="15" t="s">
        <v>176</v>
      </c>
      <c r="F29" s="15" t="s">
        <v>79</v>
      </c>
      <c r="G29" s="15" t="s">
        <v>69</v>
      </c>
      <c r="H29" s="15" t="s">
        <v>75</v>
      </c>
    </row>
    <row r="30" customFormat="false" ht="15" hidden="false" customHeight="false" outlineLevel="0" collapsed="false">
      <c r="A30" s="15" t="s">
        <v>177</v>
      </c>
      <c r="B30" s="16" t="n">
        <v>45933.9166666667</v>
      </c>
      <c r="C30" s="17" t="n">
        <v>1579.6</v>
      </c>
      <c r="D30" s="15" t="s">
        <v>178</v>
      </c>
      <c r="E30" s="15" t="s">
        <v>179</v>
      </c>
      <c r="F30" s="15" t="s">
        <v>102</v>
      </c>
      <c r="G30" s="15" t="s">
        <v>69</v>
      </c>
      <c r="H30" s="15" t="s">
        <v>163</v>
      </c>
    </row>
    <row r="31" customFormat="false" ht="15" hidden="false" customHeight="false" outlineLevel="0" collapsed="false">
      <c r="A31" s="15" t="s">
        <v>180</v>
      </c>
      <c r="B31" s="16" t="n">
        <v>45947.2916666667</v>
      </c>
      <c r="C31" s="17" t="n">
        <v>699.8</v>
      </c>
      <c r="D31" s="15" t="s">
        <v>181</v>
      </c>
      <c r="E31" s="15" t="s">
        <v>182</v>
      </c>
      <c r="F31" s="15" t="s">
        <v>107</v>
      </c>
      <c r="G31" s="15" t="s">
        <v>69</v>
      </c>
      <c r="H31" s="15" t="s">
        <v>98</v>
      </c>
    </row>
    <row r="32" customFormat="false" ht="15" hidden="false" customHeight="false" outlineLevel="0" collapsed="false">
      <c r="A32" s="15" t="s">
        <v>183</v>
      </c>
      <c r="B32" s="16" t="n">
        <v>45949.625</v>
      </c>
      <c r="C32" s="17" t="n">
        <v>611.28</v>
      </c>
      <c r="D32" s="15" t="s">
        <v>184</v>
      </c>
      <c r="E32" s="15" t="s">
        <v>185</v>
      </c>
      <c r="F32" s="15" t="s">
        <v>107</v>
      </c>
      <c r="G32" s="15" t="s">
        <v>69</v>
      </c>
      <c r="H32" s="15" t="s">
        <v>70</v>
      </c>
    </row>
    <row r="33" customFormat="false" ht="15" hidden="false" customHeight="false" outlineLevel="0" collapsed="false">
      <c r="A33" s="15" t="s">
        <v>186</v>
      </c>
      <c r="B33" s="16" t="n">
        <v>45934.875</v>
      </c>
      <c r="C33" s="17" t="n">
        <v>1080.47</v>
      </c>
      <c r="D33" s="15" t="s">
        <v>187</v>
      </c>
      <c r="E33" s="15" t="s">
        <v>188</v>
      </c>
      <c r="F33" s="15" t="s">
        <v>123</v>
      </c>
      <c r="G33" s="15" t="s">
        <v>69</v>
      </c>
      <c r="H33" s="15" t="s">
        <v>70</v>
      </c>
    </row>
    <row r="34" customFormat="false" ht="15" hidden="false" customHeight="false" outlineLevel="0" collapsed="false">
      <c r="A34" s="15" t="s">
        <v>189</v>
      </c>
      <c r="B34" s="16" t="n">
        <v>45932.5</v>
      </c>
      <c r="C34" s="17" t="n">
        <v>1821.89</v>
      </c>
      <c r="D34" s="15" t="s">
        <v>190</v>
      </c>
      <c r="E34" s="15" t="s">
        <v>191</v>
      </c>
      <c r="F34" s="15" t="s">
        <v>74</v>
      </c>
      <c r="G34" s="15" t="s">
        <v>69</v>
      </c>
      <c r="H34" s="15" t="s">
        <v>80</v>
      </c>
    </row>
    <row r="35" customFormat="false" ht="15" hidden="false" customHeight="false" outlineLevel="0" collapsed="false">
      <c r="A35" s="15" t="s">
        <v>192</v>
      </c>
      <c r="B35" s="16" t="n">
        <v>45945.1666666667</v>
      </c>
      <c r="C35" s="17" t="n">
        <v>1057.59</v>
      </c>
      <c r="D35" s="15" t="s">
        <v>193</v>
      </c>
      <c r="E35" s="15" t="s">
        <v>194</v>
      </c>
      <c r="F35" s="15" t="s">
        <v>68</v>
      </c>
      <c r="G35" s="15" t="s">
        <v>69</v>
      </c>
      <c r="H35" s="15" t="s">
        <v>195</v>
      </c>
    </row>
    <row r="36" customFormat="false" ht="15" hidden="false" customHeight="false" outlineLevel="0" collapsed="false">
      <c r="A36" s="15" t="s">
        <v>196</v>
      </c>
      <c r="B36" s="16" t="n">
        <v>45956.7083333333</v>
      </c>
      <c r="C36" s="17" t="n">
        <v>249.28</v>
      </c>
      <c r="D36" s="15" t="s">
        <v>197</v>
      </c>
      <c r="E36" s="15" t="s">
        <v>198</v>
      </c>
      <c r="F36" s="15" t="s">
        <v>132</v>
      </c>
      <c r="G36" s="15" t="s">
        <v>69</v>
      </c>
      <c r="H36" s="15" t="s">
        <v>103</v>
      </c>
    </row>
    <row r="37" customFormat="false" ht="15" hidden="false" customHeight="false" outlineLevel="0" collapsed="false">
      <c r="A37" s="15" t="s">
        <v>199</v>
      </c>
      <c r="B37" s="16" t="n">
        <v>45936.5416666667</v>
      </c>
      <c r="C37" s="17" t="n">
        <v>1216.67</v>
      </c>
      <c r="D37" s="15" t="s">
        <v>200</v>
      </c>
      <c r="E37" s="15" t="s">
        <v>201</v>
      </c>
      <c r="F37" s="15" t="s">
        <v>102</v>
      </c>
      <c r="G37" s="15" t="s">
        <v>69</v>
      </c>
      <c r="H37" s="15" t="s">
        <v>202</v>
      </c>
    </row>
    <row r="38" customFormat="false" ht="15" hidden="false" customHeight="false" outlineLevel="0" collapsed="false">
      <c r="A38" s="15" t="s">
        <v>203</v>
      </c>
      <c r="B38" s="16" t="n">
        <v>45931.5</v>
      </c>
      <c r="C38" s="17" t="n">
        <v>666.68</v>
      </c>
      <c r="D38" s="15" t="s">
        <v>204</v>
      </c>
      <c r="E38" s="15" t="s">
        <v>205</v>
      </c>
      <c r="F38" s="15" t="s">
        <v>107</v>
      </c>
      <c r="G38" s="15" t="s">
        <v>94</v>
      </c>
      <c r="H38" s="15" t="s">
        <v>206</v>
      </c>
    </row>
    <row r="39" customFormat="false" ht="15" hidden="false" customHeight="false" outlineLevel="0" collapsed="false">
      <c r="A39" s="15" t="s">
        <v>207</v>
      </c>
      <c r="B39" s="16" t="n">
        <v>45935.25</v>
      </c>
      <c r="C39" s="17" t="n">
        <v>745.29</v>
      </c>
      <c r="D39" s="15" t="s">
        <v>208</v>
      </c>
      <c r="E39" s="15" t="s">
        <v>209</v>
      </c>
      <c r="F39" s="15" t="s">
        <v>93</v>
      </c>
      <c r="G39" s="15" t="s">
        <v>94</v>
      </c>
      <c r="H39" s="15" t="s">
        <v>137</v>
      </c>
    </row>
    <row r="40" customFormat="false" ht="15" hidden="false" customHeight="false" outlineLevel="0" collapsed="false">
      <c r="A40" s="15" t="s">
        <v>210</v>
      </c>
      <c r="B40" s="16" t="n">
        <v>45954.4166666667</v>
      </c>
      <c r="C40" s="17" t="n">
        <v>147.63</v>
      </c>
      <c r="D40" s="15" t="s">
        <v>211</v>
      </c>
      <c r="E40" s="15" t="s">
        <v>212</v>
      </c>
      <c r="F40" s="15" t="s">
        <v>79</v>
      </c>
      <c r="G40" s="15" t="s">
        <v>94</v>
      </c>
      <c r="H40" s="15" t="s">
        <v>108</v>
      </c>
    </row>
    <row r="41" customFormat="false" ht="15" hidden="false" customHeight="false" outlineLevel="0" collapsed="false">
      <c r="A41" s="15" t="s">
        <v>213</v>
      </c>
      <c r="B41" s="16" t="n">
        <v>45932.6666666667</v>
      </c>
      <c r="C41" s="17" t="n">
        <v>204.88</v>
      </c>
      <c r="D41" s="15" t="s">
        <v>214</v>
      </c>
      <c r="E41" s="15" t="s">
        <v>215</v>
      </c>
      <c r="F41" s="15" t="s">
        <v>136</v>
      </c>
      <c r="G41" s="15" t="s">
        <v>69</v>
      </c>
      <c r="H41" s="15" t="s">
        <v>103</v>
      </c>
    </row>
    <row r="42" customFormat="false" ht="15" hidden="false" customHeight="false" outlineLevel="0" collapsed="false">
      <c r="A42" s="15" t="s">
        <v>216</v>
      </c>
      <c r="B42" s="16" t="n">
        <v>45943.125</v>
      </c>
      <c r="C42" s="17" t="n">
        <v>2354.28</v>
      </c>
      <c r="D42" s="15" t="s">
        <v>217</v>
      </c>
      <c r="E42" s="15" t="s">
        <v>218</v>
      </c>
      <c r="F42" s="15" t="s">
        <v>79</v>
      </c>
      <c r="G42" s="15" t="s">
        <v>69</v>
      </c>
      <c r="H42" s="15" t="s">
        <v>112</v>
      </c>
    </row>
    <row r="43" customFormat="false" ht="15" hidden="false" customHeight="false" outlineLevel="0" collapsed="false">
      <c r="A43" s="15" t="s">
        <v>219</v>
      </c>
      <c r="B43" s="16" t="n">
        <v>45933.5416666667</v>
      </c>
      <c r="C43" s="17" t="n">
        <v>1645.15</v>
      </c>
      <c r="D43" s="15" t="s">
        <v>220</v>
      </c>
      <c r="E43" s="15" t="s">
        <v>221</v>
      </c>
      <c r="F43" s="15" t="s">
        <v>79</v>
      </c>
      <c r="G43" s="15" t="s">
        <v>69</v>
      </c>
      <c r="H43" s="15" t="s">
        <v>222</v>
      </c>
    </row>
    <row r="44" customFormat="false" ht="15" hidden="false" customHeight="false" outlineLevel="0" collapsed="false">
      <c r="A44" s="15" t="s">
        <v>223</v>
      </c>
      <c r="B44" s="16" t="n">
        <v>45952.9166666667</v>
      </c>
      <c r="C44" s="17" t="n">
        <v>788.89</v>
      </c>
      <c r="D44" s="15" t="s">
        <v>224</v>
      </c>
      <c r="E44" s="15" t="s">
        <v>225</v>
      </c>
      <c r="F44" s="15" t="s">
        <v>68</v>
      </c>
      <c r="G44" s="15" t="s">
        <v>69</v>
      </c>
      <c r="H44" s="15" t="s">
        <v>195</v>
      </c>
    </row>
    <row r="45" customFormat="false" ht="15" hidden="false" customHeight="false" outlineLevel="0" collapsed="false">
      <c r="A45" s="15" t="s">
        <v>226</v>
      </c>
      <c r="B45" s="16" t="n">
        <v>45941.0833333333</v>
      </c>
      <c r="C45" s="17" t="n">
        <v>28.24</v>
      </c>
      <c r="D45" s="15" t="s">
        <v>227</v>
      </c>
      <c r="E45" s="15" t="s">
        <v>228</v>
      </c>
      <c r="F45" s="15" t="s">
        <v>79</v>
      </c>
      <c r="G45" s="15" t="s">
        <v>69</v>
      </c>
      <c r="H45" s="15" t="s">
        <v>80</v>
      </c>
    </row>
    <row r="46" customFormat="false" ht="15" hidden="false" customHeight="false" outlineLevel="0" collapsed="false">
      <c r="A46" s="15" t="s">
        <v>229</v>
      </c>
      <c r="B46" s="16" t="n">
        <v>45937.6666666667</v>
      </c>
      <c r="C46" s="17" t="n">
        <v>666.68</v>
      </c>
      <c r="D46" s="15" t="s">
        <v>230</v>
      </c>
      <c r="E46" s="15" t="s">
        <v>231</v>
      </c>
      <c r="F46" s="15" t="s">
        <v>88</v>
      </c>
      <c r="G46" s="15" t="s">
        <v>69</v>
      </c>
      <c r="H46" s="15" t="s">
        <v>170</v>
      </c>
    </row>
    <row r="47" customFormat="false" ht="15" hidden="false" customHeight="false" outlineLevel="0" collapsed="false">
      <c r="A47" s="15" t="s">
        <v>232</v>
      </c>
      <c r="B47" s="16" t="n">
        <v>45936.5833333333</v>
      </c>
      <c r="C47" s="17" t="n">
        <v>2085.19</v>
      </c>
      <c r="D47" s="15" t="s">
        <v>233</v>
      </c>
      <c r="E47" s="15" t="s">
        <v>234</v>
      </c>
      <c r="F47" s="15" t="s">
        <v>68</v>
      </c>
      <c r="G47" s="15" t="s">
        <v>94</v>
      </c>
      <c r="H47" s="15" t="s">
        <v>75</v>
      </c>
    </row>
    <row r="48" customFormat="false" ht="15" hidden="false" customHeight="false" outlineLevel="0" collapsed="false">
      <c r="A48" s="15" t="s">
        <v>235</v>
      </c>
      <c r="B48" s="16" t="n">
        <v>45952.7083333333</v>
      </c>
      <c r="C48" s="17" t="n">
        <v>751.95</v>
      </c>
      <c r="D48" s="15" t="s">
        <v>236</v>
      </c>
      <c r="E48" s="15" t="s">
        <v>237</v>
      </c>
      <c r="F48" s="15" t="s">
        <v>74</v>
      </c>
      <c r="G48" s="15" t="s">
        <v>69</v>
      </c>
      <c r="H48" s="15" t="s">
        <v>70</v>
      </c>
    </row>
    <row r="49" customFormat="false" ht="15" hidden="false" customHeight="false" outlineLevel="0" collapsed="false">
      <c r="A49" s="15" t="s">
        <v>238</v>
      </c>
      <c r="B49" s="16" t="n">
        <v>45954.7083333333</v>
      </c>
      <c r="C49" s="17" t="n">
        <v>392.84</v>
      </c>
      <c r="D49" s="15" t="s">
        <v>239</v>
      </c>
      <c r="E49" s="15" t="s">
        <v>240</v>
      </c>
      <c r="F49" s="15" t="s">
        <v>68</v>
      </c>
      <c r="G49" s="15" t="s">
        <v>69</v>
      </c>
      <c r="H49" s="15" t="s">
        <v>222</v>
      </c>
    </row>
    <row r="50" customFormat="false" ht="15" hidden="false" customHeight="false" outlineLevel="0" collapsed="false">
      <c r="A50" s="15" t="s">
        <v>241</v>
      </c>
      <c r="B50" s="16" t="n">
        <v>45952.8333333333</v>
      </c>
      <c r="C50" s="17" t="n">
        <v>2133.02</v>
      </c>
      <c r="D50" s="15" t="s">
        <v>242</v>
      </c>
      <c r="E50" s="15" t="s">
        <v>243</v>
      </c>
      <c r="F50" s="15" t="s">
        <v>132</v>
      </c>
      <c r="G50" s="15" t="s">
        <v>69</v>
      </c>
      <c r="H50" s="15" t="s">
        <v>163</v>
      </c>
    </row>
    <row r="51" customFormat="false" ht="15" hidden="false" customHeight="false" outlineLevel="0" collapsed="false">
      <c r="A51" s="15" t="s">
        <v>244</v>
      </c>
      <c r="B51" s="16" t="n">
        <v>45951.5416666667</v>
      </c>
      <c r="C51" s="17" t="n">
        <v>2074.22</v>
      </c>
      <c r="D51" s="15" t="s">
        <v>245</v>
      </c>
      <c r="E51" s="15" t="s">
        <v>246</v>
      </c>
      <c r="F51" s="15" t="s">
        <v>93</v>
      </c>
      <c r="G51" s="15" t="s">
        <v>69</v>
      </c>
      <c r="H51" s="15" t="s">
        <v>116</v>
      </c>
    </row>
    <row r="52" customFormat="false" ht="15" hidden="false" customHeight="false" outlineLevel="0" collapsed="false">
      <c r="A52" s="15" t="s">
        <v>247</v>
      </c>
      <c r="B52" s="16" t="n">
        <v>45936.9583333333</v>
      </c>
      <c r="C52" s="17" t="n">
        <v>1107.38</v>
      </c>
      <c r="D52" s="15" t="s">
        <v>248</v>
      </c>
      <c r="E52" s="15" t="s">
        <v>249</v>
      </c>
      <c r="F52" s="15" t="s">
        <v>123</v>
      </c>
      <c r="G52" s="15" t="s">
        <v>69</v>
      </c>
      <c r="H52" s="15" t="s">
        <v>163</v>
      </c>
    </row>
    <row r="53" customFormat="false" ht="15" hidden="false" customHeight="false" outlineLevel="0" collapsed="false">
      <c r="A53" s="15" t="s">
        <v>250</v>
      </c>
      <c r="B53" s="16" t="n">
        <v>45961.9166666667</v>
      </c>
      <c r="C53" s="17" t="n">
        <v>2260.3</v>
      </c>
      <c r="D53" s="15" t="s">
        <v>251</v>
      </c>
      <c r="E53" s="15" t="s">
        <v>252</v>
      </c>
      <c r="F53" s="15" t="s">
        <v>132</v>
      </c>
      <c r="G53" s="15" t="s">
        <v>69</v>
      </c>
      <c r="H53" s="15" t="s">
        <v>98</v>
      </c>
    </row>
    <row r="54" customFormat="false" ht="15" hidden="false" customHeight="false" outlineLevel="0" collapsed="false">
      <c r="A54" s="15" t="s">
        <v>253</v>
      </c>
      <c r="B54" s="16" t="n">
        <v>45948.1666666667</v>
      </c>
      <c r="C54" s="17" t="n">
        <v>1077.32</v>
      </c>
      <c r="D54" s="15" t="s">
        <v>254</v>
      </c>
      <c r="E54" s="15" t="s">
        <v>255</v>
      </c>
      <c r="F54" s="15" t="s">
        <v>93</v>
      </c>
      <c r="G54" s="15" t="s">
        <v>69</v>
      </c>
      <c r="H54" s="15" t="s">
        <v>256</v>
      </c>
    </row>
    <row r="55" customFormat="false" ht="15" hidden="false" customHeight="false" outlineLevel="0" collapsed="false">
      <c r="A55" s="15" t="s">
        <v>257</v>
      </c>
      <c r="B55" s="16" t="n">
        <v>45937.875</v>
      </c>
      <c r="C55" s="17" t="n">
        <v>627.58</v>
      </c>
      <c r="D55" s="15" t="s">
        <v>258</v>
      </c>
      <c r="E55" s="15" t="s">
        <v>259</v>
      </c>
      <c r="F55" s="15" t="s">
        <v>74</v>
      </c>
      <c r="G55" s="15" t="s">
        <v>94</v>
      </c>
      <c r="H55" s="15" t="s">
        <v>84</v>
      </c>
    </row>
    <row r="56" customFormat="false" ht="15" hidden="false" customHeight="false" outlineLevel="0" collapsed="false">
      <c r="A56" s="15" t="s">
        <v>260</v>
      </c>
      <c r="B56" s="16" t="n">
        <v>45950.9583333333</v>
      </c>
      <c r="C56" s="17" t="n">
        <v>390.61</v>
      </c>
      <c r="D56" s="15" t="s">
        <v>261</v>
      </c>
      <c r="E56" s="15" t="s">
        <v>262</v>
      </c>
      <c r="F56" s="15" t="s">
        <v>102</v>
      </c>
      <c r="G56" s="15" t="s">
        <v>69</v>
      </c>
      <c r="H56" s="15" t="s">
        <v>84</v>
      </c>
    </row>
    <row r="57" customFormat="false" ht="15" hidden="false" customHeight="false" outlineLevel="0" collapsed="false">
      <c r="A57" s="15" t="s">
        <v>263</v>
      </c>
      <c r="B57" s="16" t="n">
        <v>45931.2083333333</v>
      </c>
      <c r="C57" s="17" t="n">
        <v>1842.73</v>
      </c>
      <c r="D57" s="15" t="s">
        <v>264</v>
      </c>
      <c r="E57" s="15" t="s">
        <v>265</v>
      </c>
      <c r="F57" s="15" t="s">
        <v>88</v>
      </c>
      <c r="G57" s="15" t="s">
        <v>69</v>
      </c>
      <c r="H57" s="15" t="s">
        <v>116</v>
      </c>
    </row>
    <row r="58" customFormat="false" ht="15" hidden="false" customHeight="false" outlineLevel="0" collapsed="false">
      <c r="A58" s="15" t="s">
        <v>266</v>
      </c>
      <c r="B58" s="16" t="n">
        <v>45936.9166666667</v>
      </c>
      <c r="C58" s="17" t="n">
        <v>274.7</v>
      </c>
      <c r="D58" s="15" t="s">
        <v>267</v>
      </c>
      <c r="E58" s="15" t="s">
        <v>268</v>
      </c>
      <c r="F58" s="15" t="s">
        <v>93</v>
      </c>
      <c r="G58" s="15" t="s">
        <v>69</v>
      </c>
      <c r="H58" s="15" t="s">
        <v>195</v>
      </c>
    </row>
    <row r="59" customFormat="false" ht="15" hidden="false" customHeight="false" outlineLevel="0" collapsed="false">
      <c r="A59" s="15" t="s">
        <v>269</v>
      </c>
      <c r="B59" s="16" t="n">
        <v>45942.375</v>
      </c>
      <c r="C59" s="17" t="n">
        <v>2052.24</v>
      </c>
      <c r="D59" s="15" t="s">
        <v>270</v>
      </c>
      <c r="E59" s="15" t="s">
        <v>271</v>
      </c>
      <c r="F59" s="15" t="s">
        <v>102</v>
      </c>
      <c r="G59" s="15" t="s">
        <v>69</v>
      </c>
      <c r="H59" s="15" t="s">
        <v>202</v>
      </c>
    </row>
    <row r="60" customFormat="false" ht="15" hidden="false" customHeight="false" outlineLevel="0" collapsed="false">
      <c r="A60" s="15" t="s">
        <v>272</v>
      </c>
      <c r="B60" s="16" t="n">
        <v>45941.3333333333</v>
      </c>
      <c r="C60" s="17" t="n">
        <v>2161.56</v>
      </c>
      <c r="D60" s="15" t="s">
        <v>273</v>
      </c>
      <c r="E60" s="15" t="s">
        <v>274</v>
      </c>
      <c r="F60" s="15" t="s">
        <v>68</v>
      </c>
      <c r="G60" s="15" t="s">
        <v>94</v>
      </c>
      <c r="H60" s="15" t="s">
        <v>202</v>
      </c>
    </row>
    <row r="61" customFormat="false" ht="15" hidden="false" customHeight="false" outlineLevel="0" collapsed="false">
      <c r="A61" s="15" t="s">
        <v>275</v>
      </c>
      <c r="B61" s="16" t="n">
        <v>45952.7083333333</v>
      </c>
      <c r="C61" s="17" t="n">
        <v>831.22</v>
      </c>
      <c r="D61" s="15" t="s">
        <v>276</v>
      </c>
      <c r="E61" s="15" t="s">
        <v>277</v>
      </c>
      <c r="F61" s="15" t="s">
        <v>93</v>
      </c>
      <c r="G61" s="15" t="s">
        <v>69</v>
      </c>
      <c r="H61" s="15" t="s">
        <v>98</v>
      </c>
    </row>
    <row r="62" customFormat="false" ht="15" hidden="false" customHeight="false" outlineLevel="0" collapsed="false">
      <c r="A62" s="15" t="s">
        <v>278</v>
      </c>
      <c r="B62" s="16" t="n">
        <v>45961.3333333333</v>
      </c>
      <c r="C62" s="17" t="n">
        <v>100.45</v>
      </c>
      <c r="D62" s="15" t="s">
        <v>279</v>
      </c>
      <c r="E62" s="15" t="s">
        <v>280</v>
      </c>
      <c r="F62" s="15" t="s">
        <v>79</v>
      </c>
      <c r="G62" s="15" t="s">
        <v>69</v>
      </c>
      <c r="H62" s="15" t="s">
        <v>84</v>
      </c>
    </row>
    <row r="63" customFormat="false" ht="15" hidden="false" customHeight="false" outlineLevel="0" collapsed="false">
      <c r="A63" s="15" t="s">
        <v>281</v>
      </c>
      <c r="B63" s="16" t="n">
        <v>45950.6666666667</v>
      </c>
      <c r="C63" s="17" t="n">
        <v>293.54</v>
      </c>
      <c r="D63" s="15" t="s">
        <v>282</v>
      </c>
      <c r="E63" s="15" t="s">
        <v>283</v>
      </c>
      <c r="F63" s="15" t="s">
        <v>79</v>
      </c>
      <c r="G63" s="15" t="s">
        <v>69</v>
      </c>
      <c r="H63" s="15" t="s">
        <v>84</v>
      </c>
    </row>
    <row r="64" customFormat="false" ht="15" hidden="false" customHeight="false" outlineLevel="0" collapsed="false">
      <c r="A64" s="15" t="s">
        <v>284</v>
      </c>
      <c r="B64" s="16" t="n">
        <v>45931.6666666667</v>
      </c>
      <c r="C64" s="17" t="n">
        <v>2314.31</v>
      </c>
      <c r="D64" s="15" t="s">
        <v>285</v>
      </c>
      <c r="E64" s="15" t="s">
        <v>286</v>
      </c>
      <c r="F64" s="15" t="s">
        <v>132</v>
      </c>
      <c r="G64" s="15" t="s">
        <v>69</v>
      </c>
      <c r="H64" s="15" t="s">
        <v>256</v>
      </c>
    </row>
    <row r="65" customFormat="false" ht="15" hidden="false" customHeight="false" outlineLevel="0" collapsed="false">
      <c r="A65" s="15" t="s">
        <v>287</v>
      </c>
      <c r="B65" s="16" t="n">
        <v>45944.0833333333</v>
      </c>
      <c r="C65" s="17" t="n">
        <v>2372.44</v>
      </c>
      <c r="D65" s="15" t="s">
        <v>288</v>
      </c>
      <c r="E65" s="15" t="s">
        <v>289</v>
      </c>
      <c r="F65" s="15" t="s">
        <v>88</v>
      </c>
      <c r="G65" s="15" t="s">
        <v>69</v>
      </c>
      <c r="H65" s="15" t="s">
        <v>170</v>
      </c>
    </row>
    <row r="66" customFormat="false" ht="15" hidden="false" customHeight="false" outlineLevel="0" collapsed="false">
      <c r="A66" s="15" t="s">
        <v>290</v>
      </c>
      <c r="B66" s="16" t="n">
        <v>45947.375</v>
      </c>
      <c r="C66" s="17" t="n">
        <v>1668.9</v>
      </c>
      <c r="D66" s="15" t="s">
        <v>291</v>
      </c>
      <c r="E66" s="15" t="s">
        <v>292</v>
      </c>
      <c r="F66" s="15" t="s">
        <v>88</v>
      </c>
      <c r="G66" s="15" t="s">
        <v>69</v>
      </c>
      <c r="H66" s="15" t="s">
        <v>80</v>
      </c>
    </row>
    <row r="67" customFormat="false" ht="15" hidden="false" customHeight="false" outlineLevel="0" collapsed="false">
      <c r="A67" s="15" t="s">
        <v>293</v>
      </c>
      <c r="B67" s="16" t="n">
        <v>45935.25</v>
      </c>
      <c r="C67" s="17" t="n">
        <v>1054.01</v>
      </c>
      <c r="D67" s="15" t="s">
        <v>294</v>
      </c>
      <c r="E67" s="15" t="s">
        <v>295</v>
      </c>
      <c r="F67" s="15" t="s">
        <v>123</v>
      </c>
      <c r="G67" s="15" t="s">
        <v>69</v>
      </c>
      <c r="H67" s="15" t="s">
        <v>112</v>
      </c>
    </row>
    <row r="68" customFormat="false" ht="15" hidden="false" customHeight="false" outlineLevel="0" collapsed="false">
      <c r="A68" s="15" t="s">
        <v>296</v>
      </c>
      <c r="B68" s="16" t="n">
        <v>45949.375</v>
      </c>
      <c r="C68" s="17" t="n">
        <v>1018.16</v>
      </c>
      <c r="D68" s="15" t="s">
        <v>297</v>
      </c>
      <c r="E68" s="15" t="s">
        <v>298</v>
      </c>
      <c r="F68" s="15" t="s">
        <v>93</v>
      </c>
      <c r="G68" s="15" t="s">
        <v>69</v>
      </c>
      <c r="H68" s="15" t="s">
        <v>84</v>
      </c>
    </row>
    <row r="69" customFormat="false" ht="15" hidden="false" customHeight="false" outlineLevel="0" collapsed="false">
      <c r="A69" s="15" t="s">
        <v>299</v>
      </c>
      <c r="B69" s="16" t="n">
        <v>45956.75</v>
      </c>
      <c r="C69" s="17" t="n">
        <v>1518.62</v>
      </c>
      <c r="D69" s="15" t="s">
        <v>300</v>
      </c>
      <c r="E69" s="15" t="s">
        <v>301</v>
      </c>
      <c r="F69" s="15" t="s">
        <v>88</v>
      </c>
      <c r="G69" s="15" t="s">
        <v>127</v>
      </c>
      <c r="H69" s="15" t="s">
        <v>222</v>
      </c>
    </row>
    <row r="70" customFormat="false" ht="15" hidden="false" customHeight="false" outlineLevel="0" collapsed="false">
      <c r="A70" s="15" t="s">
        <v>302</v>
      </c>
      <c r="B70" s="16" t="n">
        <v>45947.625</v>
      </c>
      <c r="C70" s="17" t="n">
        <v>1985.37</v>
      </c>
      <c r="D70" s="15" t="s">
        <v>303</v>
      </c>
      <c r="E70" s="15" t="s">
        <v>304</v>
      </c>
      <c r="F70" s="15" t="s">
        <v>136</v>
      </c>
      <c r="G70" s="15" t="s">
        <v>69</v>
      </c>
      <c r="H70" s="15" t="s">
        <v>150</v>
      </c>
    </row>
    <row r="71" customFormat="false" ht="15" hidden="false" customHeight="false" outlineLevel="0" collapsed="false">
      <c r="A71" s="15" t="s">
        <v>305</v>
      </c>
      <c r="B71" s="16" t="n">
        <v>45952.8333333333</v>
      </c>
      <c r="C71" s="17" t="n">
        <v>1550.06</v>
      </c>
      <c r="D71" s="15" t="s">
        <v>306</v>
      </c>
      <c r="E71" s="15" t="s">
        <v>307</v>
      </c>
      <c r="F71" s="15" t="s">
        <v>74</v>
      </c>
      <c r="G71" s="15" t="s">
        <v>69</v>
      </c>
      <c r="H71" s="15" t="s">
        <v>170</v>
      </c>
    </row>
    <row r="72" customFormat="false" ht="15" hidden="false" customHeight="false" outlineLevel="0" collapsed="false">
      <c r="A72" s="15" t="s">
        <v>308</v>
      </c>
      <c r="B72" s="16" t="n">
        <v>45938.25</v>
      </c>
      <c r="C72" s="17" t="n">
        <v>372.65</v>
      </c>
      <c r="D72" s="15" t="s">
        <v>309</v>
      </c>
      <c r="E72" s="15" t="s">
        <v>310</v>
      </c>
      <c r="F72" s="15" t="s">
        <v>93</v>
      </c>
      <c r="G72" s="15" t="s">
        <v>69</v>
      </c>
      <c r="H72" s="15" t="s">
        <v>195</v>
      </c>
    </row>
    <row r="73" customFormat="false" ht="15" hidden="false" customHeight="false" outlineLevel="0" collapsed="false">
      <c r="A73" s="15" t="s">
        <v>311</v>
      </c>
      <c r="B73" s="16" t="n">
        <v>45944.8333333333</v>
      </c>
      <c r="C73" s="17" t="n">
        <v>1441.3</v>
      </c>
      <c r="D73" s="15" t="s">
        <v>312</v>
      </c>
      <c r="E73" s="15" t="s">
        <v>313</v>
      </c>
      <c r="F73" s="15" t="s">
        <v>123</v>
      </c>
      <c r="G73" s="15" t="s">
        <v>69</v>
      </c>
      <c r="H73" s="15" t="s">
        <v>128</v>
      </c>
    </row>
    <row r="74" customFormat="false" ht="15" hidden="false" customHeight="false" outlineLevel="0" collapsed="false">
      <c r="A74" s="15" t="s">
        <v>314</v>
      </c>
      <c r="B74" s="16" t="n">
        <v>45951.9166666667</v>
      </c>
      <c r="C74" s="17" t="n">
        <v>18.83</v>
      </c>
      <c r="D74" s="15" t="s">
        <v>315</v>
      </c>
      <c r="E74" s="15" t="s">
        <v>316</v>
      </c>
      <c r="F74" s="15" t="s">
        <v>74</v>
      </c>
      <c r="G74" s="15" t="s">
        <v>69</v>
      </c>
      <c r="H74" s="15" t="s">
        <v>108</v>
      </c>
    </row>
    <row r="75" customFormat="false" ht="15" hidden="false" customHeight="false" outlineLevel="0" collapsed="false">
      <c r="A75" s="15" t="s">
        <v>317</v>
      </c>
      <c r="B75" s="16" t="n">
        <v>45956.9166666667</v>
      </c>
      <c r="C75" s="17" t="n">
        <v>1297.3</v>
      </c>
      <c r="D75" s="15" t="s">
        <v>318</v>
      </c>
      <c r="E75" s="15" t="s">
        <v>319</v>
      </c>
      <c r="F75" s="15" t="s">
        <v>93</v>
      </c>
      <c r="G75" s="15" t="s">
        <v>69</v>
      </c>
      <c r="H75" s="15" t="s">
        <v>195</v>
      </c>
    </row>
    <row r="76" customFormat="false" ht="15" hidden="false" customHeight="false" outlineLevel="0" collapsed="false">
      <c r="A76" s="15" t="s">
        <v>320</v>
      </c>
      <c r="B76" s="16" t="n">
        <v>45935.5833333333</v>
      </c>
      <c r="C76" s="17" t="n">
        <v>1670.61</v>
      </c>
      <c r="D76" s="15" t="s">
        <v>321</v>
      </c>
      <c r="E76" s="15" t="s">
        <v>322</v>
      </c>
      <c r="F76" s="15" t="s">
        <v>132</v>
      </c>
      <c r="G76" s="15" t="s">
        <v>127</v>
      </c>
      <c r="H76" s="15" t="s">
        <v>112</v>
      </c>
    </row>
    <row r="77" customFormat="false" ht="15" hidden="false" customHeight="false" outlineLevel="0" collapsed="false">
      <c r="A77" s="15" t="s">
        <v>323</v>
      </c>
      <c r="B77" s="16" t="n">
        <v>45957.9583333333</v>
      </c>
      <c r="C77" s="17" t="n">
        <v>2230.59</v>
      </c>
      <c r="D77" s="15" t="s">
        <v>324</v>
      </c>
      <c r="E77" s="15" t="s">
        <v>325</v>
      </c>
      <c r="F77" s="15" t="s">
        <v>123</v>
      </c>
      <c r="G77" s="15" t="s">
        <v>127</v>
      </c>
      <c r="H77" s="15" t="s">
        <v>108</v>
      </c>
    </row>
    <row r="78" customFormat="false" ht="15" hidden="false" customHeight="false" outlineLevel="0" collapsed="false">
      <c r="A78" s="15" t="s">
        <v>326</v>
      </c>
      <c r="B78" s="16" t="n">
        <v>45954.625</v>
      </c>
      <c r="C78" s="17" t="n">
        <v>1127.92</v>
      </c>
      <c r="D78" s="15" t="s">
        <v>327</v>
      </c>
      <c r="E78" s="15" t="s">
        <v>328</v>
      </c>
      <c r="F78" s="15" t="s">
        <v>102</v>
      </c>
      <c r="G78" s="15" t="s">
        <v>94</v>
      </c>
      <c r="H78" s="15" t="s">
        <v>206</v>
      </c>
    </row>
    <row r="79" customFormat="false" ht="15" hidden="false" customHeight="false" outlineLevel="0" collapsed="false">
      <c r="A79" s="15" t="s">
        <v>329</v>
      </c>
      <c r="B79" s="16" t="n">
        <v>45951.2916666667</v>
      </c>
      <c r="C79" s="17" t="n">
        <v>690.12</v>
      </c>
      <c r="D79" s="15" t="s">
        <v>330</v>
      </c>
      <c r="E79" s="15" t="s">
        <v>331</v>
      </c>
      <c r="F79" s="15" t="s">
        <v>74</v>
      </c>
      <c r="G79" s="15" t="s">
        <v>69</v>
      </c>
      <c r="H79" s="15" t="s">
        <v>116</v>
      </c>
    </row>
    <row r="80" customFormat="false" ht="15" hidden="false" customHeight="false" outlineLevel="0" collapsed="false">
      <c r="A80" s="15" t="s">
        <v>332</v>
      </c>
      <c r="B80" s="16" t="n">
        <v>45941.4166666667</v>
      </c>
      <c r="C80" s="17" t="n">
        <v>2233.1</v>
      </c>
      <c r="D80" s="15" t="s">
        <v>333</v>
      </c>
      <c r="E80" s="15" t="s">
        <v>334</v>
      </c>
      <c r="F80" s="15" t="s">
        <v>74</v>
      </c>
      <c r="G80" s="15" t="s">
        <v>69</v>
      </c>
      <c r="H80" s="15" t="s">
        <v>202</v>
      </c>
    </row>
    <row r="81" customFormat="false" ht="15" hidden="false" customHeight="false" outlineLevel="0" collapsed="false">
      <c r="A81" s="15" t="s">
        <v>335</v>
      </c>
      <c r="B81" s="16" t="n">
        <v>45953.1666666667</v>
      </c>
      <c r="C81" s="17" t="n">
        <v>1767.52</v>
      </c>
      <c r="D81" s="15" t="s">
        <v>336</v>
      </c>
      <c r="E81" s="15" t="s">
        <v>337</v>
      </c>
      <c r="F81" s="15" t="s">
        <v>74</v>
      </c>
      <c r="G81" s="15" t="s">
        <v>69</v>
      </c>
      <c r="H81" s="15" t="s">
        <v>80</v>
      </c>
    </row>
    <row r="82" customFormat="false" ht="15" hidden="false" customHeight="false" outlineLevel="0" collapsed="false">
      <c r="A82" s="15" t="s">
        <v>338</v>
      </c>
      <c r="B82" s="16" t="n">
        <v>45945.5416666667</v>
      </c>
      <c r="C82" s="17" t="n">
        <v>160.35</v>
      </c>
      <c r="D82" s="15" t="s">
        <v>339</v>
      </c>
      <c r="E82" s="15" t="s">
        <v>340</v>
      </c>
      <c r="F82" s="15" t="s">
        <v>123</v>
      </c>
      <c r="G82" s="15" t="s">
        <v>69</v>
      </c>
      <c r="H82" s="15" t="s">
        <v>98</v>
      </c>
    </row>
    <row r="83" customFormat="false" ht="15" hidden="false" customHeight="false" outlineLevel="0" collapsed="false">
      <c r="A83" s="15" t="s">
        <v>341</v>
      </c>
      <c r="B83" s="16" t="n">
        <v>45943.625</v>
      </c>
      <c r="C83" s="17" t="n">
        <v>19.71</v>
      </c>
      <c r="D83" s="15" t="s">
        <v>342</v>
      </c>
      <c r="E83" s="15" t="s">
        <v>343</v>
      </c>
      <c r="F83" s="15" t="s">
        <v>88</v>
      </c>
      <c r="G83" s="15" t="s">
        <v>89</v>
      </c>
      <c r="H83" s="15" t="s">
        <v>84</v>
      </c>
    </row>
    <row r="84" customFormat="false" ht="15" hidden="false" customHeight="false" outlineLevel="0" collapsed="false">
      <c r="A84" s="15" t="s">
        <v>344</v>
      </c>
      <c r="B84" s="16" t="n">
        <v>45948.9583333333</v>
      </c>
      <c r="C84" s="17" t="n">
        <v>1837.91</v>
      </c>
      <c r="D84" s="15" t="s">
        <v>345</v>
      </c>
      <c r="E84" s="15" t="s">
        <v>346</v>
      </c>
      <c r="F84" s="15" t="s">
        <v>79</v>
      </c>
      <c r="G84" s="15" t="s">
        <v>69</v>
      </c>
      <c r="H84" s="15" t="s">
        <v>116</v>
      </c>
    </row>
    <row r="85" customFormat="false" ht="15" hidden="false" customHeight="false" outlineLevel="0" collapsed="false">
      <c r="A85" s="15" t="s">
        <v>347</v>
      </c>
      <c r="B85" s="16" t="n">
        <v>45944.625</v>
      </c>
      <c r="C85" s="17" t="n">
        <v>77.42</v>
      </c>
      <c r="D85" s="15" t="s">
        <v>348</v>
      </c>
      <c r="E85" s="15" t="s">
        <v>349</v>
      </c>
      <c r="F85" s="15" t="s">
        <v>88</v>
      </c>
      <c r="G85" s="15" t="s">
        <v>89</v>
      </c>
      <c r="H85" s="15" t="s">
        <v>108</v>
      </c>
    </row>
    <row r="86" customFormat="false" ht="15" hidden="false" customHeight="false" outlineLevel="0" collapsed="false">
      <c r="A86" s="15" t="s">
        <v>350</v>
      </c>
      <c r="B86" s="16" t="n">
        <v>45957.5833333333</v>
      </c>
      <c r="C86" s="17" t="n">
        <v>2299.26</v>
      </c>
      <c r="D86" s="15" t="s">
        <v>351</v>
      </c>
      <c r="E86" s="15" t="s">
        <v>352</v>
      </c>
      <c r="F86" s="15" t="s">
        <v>79</v>
      </c>
      <c r="G86" s="15" t="s">
        <v>89</v>
      </c>
      <c r="H86" s="15" t="s">
        <v>98</v>
      </c>
    </row>
    <row r="87" customFormat="false" ht="15" hidden="false" customHeight="false" outlineLevel="0" collapsed="false">
      <c r="A87" s="15" t="s">
        <v>353</v>
      </c>
      <c r="B87" s="16" t="n">
        <v>45949.875</v>
      </c>
      <c r="C87" s="17" t="n">
        <v>72.62</v>
      </c>
      <c r="D87" s="15" t="s">
        <v>354</v>
      </c>
      <c r="E87" s="15" t="s">
        <v>355</v>
      </c>
      <c r="F87" s="15" t="s">
        <v>123</v>
      </c>
      <c r="G87" s="15" t="s">
        <v>69</v>
      </c>
      <c r="H87" s="15" t="s">
        <v>137</v>
      </c>
    </row>
    <row r="88" customFormat="false" ht="15" hidden="false" customHeight="false" outlineLevel="0" collapsed="false">
      <c r="A88" s="15" t="s">
        <v>356</v>
      </c>
      <c r="B88" s="16" t="n">
        <v>45939.5</v>
      </c>
      <c r="C88" s="17" t="n">
        <v>821.74</v>
      </c>
      <c r="D88" s="15" t="s">
        <v>357</v>
      </c>
      <c r="E88" s="15" t="s">
        <v>358</v>
      </c>
      <c r="F88" s="15" t="s">
        <v>107</v>
      </c>
      <c r="G88" s="15" t="s">
        <v>89</v>
      </c>
      <c r="H88" s="15" t="s">
        <v>116</v>
      </c>
    </row>
    <row r="89" customFormat="false" ht="15" hidden="false" customHeight="false" outlineLevel="0" collapsed="false">
      <c r="A89" s="15" t="s">
        <v>359</v>
      </c>
      <c r="B89" s="16" t="n">
        <v>45955.5416666667</v>
      </c>
      <c r="C89" s="17" t="n">
        <v>634.42</v>
      </c>
      <c r="D89" s="15" t="s">
        <v>360</v>
      </c>
      <c r="E89" s="15" t="s">
        <v>361</v>
      </c>
      <c r="F89" s="15" t="s">
        <v>74</v>
      </c>
      <c r="G89" s="15" t="s">
        <v>94</v>
      </c>
      <c r="H89" s="15" t="s">
        <v>137</v>
      </c>
    </row>
    <row r="90" customFormat="false" ht="15" hidden="false" customHeight="false" outlineLevel="0" collapsed="false">
      <c r="A90" s="15" t="s">
        <v>362</v>
      </c>
      <c r="B90" s="16" t="n">
        <v>45961.4583333333</v>
      </c>
      <c r="C90" s="17" t="n">
        <v>564.43</v>
      </c>
      <c r="D90" s="15" t="s">
        <v>363</v>
      </c>
      <c r="E90" s="15" t="s">
        <v>364</v>
      </c>
      <c r="F90" s="15" t="s">
        <v>74</v>
      </c>
      <c r="G90" s="15" t="s">
        <v>69</v>
      </c>
      <c r="H90" s="15" t="s">
        <v>75</v>
      </c>
    </row>
    <row r="91" customFormat="false" ht="15" hidden="false" customHeight="false" outlineLevel="0" collapsed="false">
      <c r="A91" s="15" t="s">
        <v>365</v>
      </c>
      <c r="B91" s="16" t="n">
        <v>45961.2916666667</v>
      </c>
      <c r="C91" s="17" t="n">
        <v>502.4</v>
      </c>
      <c r="D91" s="15" t="s">
        <v>366</v>
      </c>
      <c r="E91" s="15" t="s">
        <v>367</v>
      </c>
      <c r="F91" s="15" t="s">
        <v>93</v>
      </c>
      <c r="G91" s="15" t="s">
        <v>69</v>
      </c>
      <c r="H91" s="15" t="s">
        <v>128</v>
      </c>
    </row>
    <row r="92" customFormat="false" ht="15" hidden="false" customHeight="false" outlineLevel="0" collapsed="false">
      <c r="A92" s="15" t="s">
        <v>368</v>
      </c>
      <c r="B92" s="16" t="n">
        <v>45946.875</v>
      </c>
      <c r="C92" s="17" t="n">
        <v>290.4</v>
      </c>
      <c r="D92" s="15" t="s">
        <v>369</v>
      </c>
      <c r="E92" s="15" t="s">
        <v>370</v>
      </c>
      <c r="F92" s="15" t="s">
        <v>102</v>
      </c>
      <c r="G92" s="15" t="s">
        <v>69</v>
      </c>
      <c r="H92" s="15" t="s">
        <v>256</v>
      </c>
    </row>
    <row r="93" customFormat="false" ht="15" hidden="false" customHeight="false" outlineLevel="0" collapsed="false">
      <c r="A93" s="15" t="s">
        <v>371</v>
      </c>
      <c r="B93" s="16" t="n">
        <v>45936.7916666667</v>
      </c>
      <c r="C93" s="17" t="n">
        <v>1520.08</v>
      </c>
      <c r="D93" s="15" t="s">
        <v>372</v>
      </c>
      <c r="E93" s="15" t="s">
        <v>373</v>
      </c>
      <c r="F93" s="15" t="s">
        <v>74</v>
      </c>
      <c r="G93" s="15" t="s">
        <v>69</v>
      </c>
      <c r="H93" s="15" t="s">
        <v>170</v>
      </c>
    </row>
    <row r="94" customFormat="false" ht="15" hidden="false" customHeight="false" outlineLevel="0" collapsed="false">
      <c r="A94" s="15" t="s">
        <v>374</v>
      </c>
      <c r="B94" s="16" t="n">
        <v>45934.75</v>
      </c>
      <c r="C94" s="17" t="n">
        <v>69.07</v>
      </c>
      <c r="D94" s="15" t="s">
        <v>375</v>
      </c>
      <c r="E94" s="15" t="s">
        <v>376</v>
      </c>
      <c r="F94" s="15" t="s">
        <v>68</v>
      </c>
      <c r="G94" s="15" t="s">
        <v>89</v>
      </c>
      <c r="H94" s="15" t="s">
        <v>202</v>
      </c>
    </row>
    <row r="95" customFormat="false" ht="15" hidden="false" customHeight="false" outlineLevel="0" collapsed="false">
      <c r="A95" s="15" t="s">
        <v>377</v>
      </c>
      <c r="B95" s="16" t="n">
        <v>45961.9166666667</v>
      </c>
      <c r="C95" s="17" t="n">
        <v>499.83</v>
      </c>
      <c r="D95" s="15" t="s">
        <v>378</v>
      </c>
      <c r="E95" s="15" t="s">
        <v>379</v>
      </c>
      <c r="F95" s="15" t="s">
        <v>79</v>
      </c>
      <c r="G95" s="15" t="s">
        <v>69</v>
      </c>
      <c r="H95" s="15" t="s">
        <v>70</v>
      </c>
    </row>
    <row r="96" customFormat="false" ht="15" hidden="false" customHeight="false" outlineLevel="0" collapsed="false">
      <c r="A96" s="15" t="s">
        <v>380</v>
      </c>
      <c r="B96" s="16" t="n">
        <v>45953.375</v>
      </c>
      <c r="C96" s="17" t="n">
        <v>2126.48</v>
      </c>
      <c r="D96" s="15" t="s">
        <v>381</v>
      </c>
      <c r="E96" s="15" t="s">
        <v>382</v>
      </c>
      <c r="F96" s="15" t="s">
        <v>79</v>
      </c>
      <c r="G96" s="15" t="s">
        <v>69</v>
      </c>
      <c r="H96" s="15" t="s">
        <v>256</v>
      </c>
    </row>
    <row r="97" customFormat="false" ht="15" hidden="false" customHeight="false" outlineLevel="0" collapsed="false">
      <c r="A97" s="15" t="s">
        <v>383</v>
      </c>
      <c r="B97" s="16" t="n">
        <v>45948.5416666667</v>
      </c>
      <c r="C97" s="17" t="n">
        <v>1655.5</v>
      </c>
      <c r="D97" s="15" t="s">
        <v>384</v>
      </c>
      <c r="E97" s="15" t="s">
        <v>385</v>
      </c>
      <c r="F97" s="15" t="s">
        <v>74</v>
      </c>
      <c r="G97" s="15" t="s">
        <v>69</v>
      </c>
      <c r="H97" s="15" t="s">
        <v>75</v>
      </c>
    </row>
    <row r="98" customFormat="false" ht="15" hidden="false" customHeight="false" outlineLevel="0" collapsed="false">
      <c r="A98" s="15" t="s">
        <v>386</v>
      </c>
      <c r="B98" s="16" t="n">
        <v>45958.5416666667</v>
      </c>
      <c r="C98" s="17" t="n">
        <v>2056.72</v>
      </c>
      <c r="D98" s="15" t="s">
        <v>387</v>
      </c>
      <c r="E98" s="15" t="s">
        <v>388</v>
      </c>
      <c r="F98" s="15" t="s">
        <v>74</v>
      </c>
      <c r="G98" s="15" t="s">
        <v>127</v>
      </c>
      <c r="H98" s="15" t="s">
        <v>128</v>
      </c>
    </row>
    <row r="99" customFormat="false" ht="15" hidden="false" customHeight="false" outlineLevel="0" collapsed="false">
      <c r="A99" s="15" t="s">
        <v>389</v>
      </c>
      <c r="B99" s="16" t="n">
        <v>45944.2083333333</v>
      </c>
      <c r="C99" s="17" t="n">
        <v>1835.82</v>
      </c>
      <c r="D99" s="15" t="s">
        <v>390</v>
      </c>
      <c r="E99" s="15" t="s">
        <v>391</v>
      </c>
      <c r="F99" s="15" t="s">
        <v>68</v>
      </c>
      <c r="G99" s="15" t="s">
        <v>94</v>
      </c>
      <c r="H99" s="15" t="s">
        <v>206</v>
      </c>
    </row>
    <row r="100" customFormat="false" ht="15" hidden="false" customHeight="false" outlineLevel="0" collapsed="false">
      <c r="A100" s="15" t="s">
        <v>392</v>
      </c>
      <c r="B100" s="16" t="n">
        <v>45945.5416666667</v>
      </c>
      <c r="C100" s="17" t="n">
        <v>2065.21</v>
      </c>
      <c r="D100" s="15" t="s">
        <v>393</v>
      </c>
      <c r="E100" s="15" t="s">
        <v>394</v>
      </c>
      <c r="F100" s="15" t="s">
        <v>79</v>
      </c>
      <c r="G100" s="15" t="s">
        <v>69</v>
      </c>
      <c r="H100" s="15" t="s">
        <v>163</v>
      </c>
    </row>
    <row r="101" customFormat="false" ht="15" hidden="false" customHeight="false" outlineLevel="0" collapsed="false">
      <c r="A101" s="15" t="s">
        <v>395</v>
      </c>
      <c r="B101" s="16" t="n">
        <v>45939.5833333333</v>
      </c>
      <c r="C101" s="17" t="n">
        <v>613.44</v>
      </c>
      <c r="D101" s="15" t="s">
        <v>396</v>
      </c>
      <c r="E101" s="15" t="s">
        <v>397</v>
      </c>
      <c r="F101" s="15" t="s">
        <v>107</v>
      </c>
      <c r="G101" s="15" t="s">
        <v>89</v>
      </c>
      <c r="H101" s="15" t="s">
        <v>398</v>
      </c>
    </row>
  </sheetData>
  <conditionalFormatting sqref="G2:G101">
    <cfRule type="cellIs" priority="2" operator="equal" aboveAverage="0" equalAverage="0" bottom="0" percent="0" rank="0" text="" dxfId="0">
      <formula>"Settled"</formula>
    </cfRule>
    <cfRule type="cellIs" priority="3" operator="equal" aboveAverage="0" equalAverage="0" bottom="0" percent="0" rank="0" text="" dxfId="1">
      <formula>"Failed"</formula>
    </cfRule>
    <cfRule type="cellIs" priority="4" operator="equal" aboveAverage="0" equalAverage="0" bottom="0" percent="0" rank="0" text="" dxfId="2">
      <formula>"Pending"</formula>
    </cfRule>
    <cfRule type="cellIs" priority="5" operator="equal" aboveAverage="0" equalAverage="0" bottom="0" percent="0" rank="0" text="" dxfId="1">
      <formula>"Returned"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14" t="s">
        <v>399</v>
      </c>
      <c r="B1" s="14" t="s">
        <v>400</v>
      </c>
      <c r="C1" s="14" t="s">
        <v>401</v>
      </c>
      <c r="D1" s="14" t="s">
        <v>402</v>
      </c>
      <c r="E1" s="14" t="s">
        <v>62</v>
      </c>
      <c r="F1" s="14" t="s">
        <v>63</v>
      </c>
      <c r="G1" s="14" t="s">
        <v>64</v>
      </c>
    </row>
    <row r="2" customFormat="false" ht="15" hidden="false" customHeight="false" outlineLevel="0" collapsed="false">
      <c r="A2" s="15" t="s">
        <v>281</v>
      </c>
      <c r="B2" s="16" t="n">
        <v>45953.7916666667</v>
      </c>
      <c r="C2" s="17" t="n">
        <v>293.54</v>
      </c>
      <c r="D2" s="15" t="s">
        <v>282</v>
      </c>
      <c r="E2" s="15" t="s">
        <v>79</v>
      </c>
      <c r="F2" s="15" t="s">
        <v>69</v>
      </c>
      <c r="G2" s="15" t="s">
        <v>84</v>
      </c>
    </row>
    <row r="3" customFormat="false" ht="15" hidden="false" customHeight="false" outlineLevel="0" collapsed="false">
      <c r="A3" s="15" t="s">
        <v>85</v>
      </c>
      <c r="B3" s="16" t="n">
        <v>45942.7916666667</v>
      </c>
      <c r="C3" s="17" t="n">
        <v>392.92</v>
      </c>
      <c r="D3" s="15" t="s">
        <v>86</v>
      </c>
      <c r="E3" s="15" t="s">
        <v>88</v>
      </c>
      <c r="F3" s="15" t="s">
        <v>89</v>
      </c>
      <c r="G3" s="15" t="s">
        <v>403</v>
      </c>
    </row>
    <row r="4" customFormat="false" ht="15" hidden="false" customHeight="false" outlineLevel="0" collapsed="false">
      <c r="A4" s="15" t="s">
        <v>180</v>
      </c>
      <c r="B4" s="16" t="n">
        <v>45948.4583333333</v>
      </c>
      <c r="C4" s="17" t="n">
        <v>699.8</v>
      </c>
      <c r="D4" s="15" t="s">
        <v>181</v>
      </c>
      <c r="E4" s="15" t="s">
        <v>107</v>
      </c>
      <c r="F4" s="15" t="s">
        <v>69</v>
      </c>
      <c r="G4" s="15" t="s">
        <v>404</v>
      </c>
    </row>
    <row r="5" customFormat="false" ht="15" hidden="false" customHeight="false" outlineLevel="0" collapsed="false">
      <c r="A5" s="15" t="s">
        <v>314</v>
      </c>
      <c r="B5" s="16" t="n">
        <v>45953.4166666667</v>
      </c>
      <c r="C5" s="17" t="n">
        <v>18.83</v>
      </c>
      <c r="D5" s="15" t="s">
        <v>315</v>
      </c>
      <c r="E5" s="15" t="s">
        <v>74</v>
      </c>
      <c r="F5" s="15" t="s">
        <v>69</v>
      </c>
      <c r="G5" s="15" t="s">
        <v>405</v>
      </c>
    </row>
    <row r="6" customFormat="false" ht="15" hidden="false" customHeight="false" outlineLevel="0" collapsed="false">
      <c r="A6" s="15" t="s">
        <v>353</v>
      </c>
      <c r="B6" s="16" t="n">
        <v>45951.875</v>
      </c>
      <c r="C6" s="17" t="n">
        <v>72.62</v>
      </c>
      <c r="D6" s="15" t="s">
        <v>354</v>
      </c>
      <c r="E6" s="15" t="s">
        <v>123</v>
      </c>
      <c r="F6" s="15" t="s">
        <v>69</v>
      </c>
      <c r="G6" s="15" t="s">
        <v>137</v>
      </c>
    </row>
    <row r="7" customFormat="false" ht="15" hidden="false" customHeight="false" outlineLevel="0" collapsed="false">
      <c r="A7" s="15" t="s">
        <v>207</v>
      </c>
      <c r="B7" s="16" t="n">
        <v>45937.5833333333</v>
      </c>
      <c r="C7" s="17" t="n">
        <v>745.29</v>
      </c>
      <c r="D7" s="15" t="s">
        <v>208</v>
      </c>
      <c r="E7" s="15" t="s">
        <v>93</v>
      </c>
      <c r="F7" s="15" t="s">
        <v>94</v>
      </c>
      <c r="G7" s="15" t="s">
        <v>137</v>
      </c>
    </row>
    <row r="8" customFormat="false" ht="15" hidden="false" customHeight="false" outlineLevel="0" collapsed="false">
      <c r="A8" s="15" t="s">
        <v>359</v>
      </c>
      <c r="B8" s="16" t="n">
        <v>45955.75</v>
      </c>
      <c r="C8" s="17" t="n">
        <v>634.42</v>
      </c>
      <c r="D8" s="15" t="s">
        <v>360</v>
      </c>
      <c r="E8" s="15" t="s">
        <v>74</v>
      </c>
      <c r="F8" s="15" t="s">
        <v>94</v>
      </c>
      <c r="G8" s="15" t="s">
        <v>406</v>
      </c>
    </row>
    <row r="9" customFormat="false" ht="15" hidden="false" customHeight="false" outlineLevel="0" collapsed="false">
      <c r="A9" s="15" t="s">
        <v>177</v>
      </c>
      <c r="B9" s="16" t="n">
        <v>45934.9166666667</v>
      </c>
      <c r="C9" s="17" t="n">
        <v>1579.6</v>
      </c>
      <c r="D9" s="15" t="s">
        <v>178</v>
      </c>
      <c r="E9" s="15" t="s">
        <v>102</v>
      </c>
      <c r="F9" s="15" t="s">
        <v>69</v>
      </c>
      <c r="G9" s="15" t="s">
        <v>163</v>
      </c>
    </row>
    <row r="10" customFormat="false" ht="15" hidden="false" customHeight="false" outlineLevel="0" collapsed="false">
      <c r="A10" s="15" t="s">
        <v>244</v>
      </c>
      <c r="B10" s="16" t="n">
        <v>45953</v>
      </c>
      <c r="C10" s="17" t="n">
        <v>2074.22</v>
      </c>
      <c r="D10" s="15" t="s">
        <v>245</v>
      </c>
      <c r="E10" s="15" t="s">
        <v>93</v>
      </c>
      <c r="F10" s="15" t="s">
        <v>69</v>
      </c>
      <c r="G10" s="15" t="s">
        <v>407</v>
      </c>
    </row>
    <row r="11" customFormat="false" ht="15" hidden="false" customHeight="false" outlineLevel="0" collapsed="false">
      <c r="A11" s="15" t="s">
        <v>380</v>
      </c>
      <c r="B11" s="16" t="n">
        <v>45955.75</v>
      </c>
      <c r="C11" s="17" t="n">
        <v>2126.48</v>
      </c>
      <c r="D11" s="15" t="s">
        <v>381</v>
      </c>
      <c r="E11" s="15" t="s">
        <v>79</v>
      </c>
      <c r="F11" s="15" t="s">
        <v>69</v>
      </c>
      <c r="G11" s="15" t="s">
        <v>256</v>
      </c>
    </row>
    <row r="12" customFormat="false" ht="15" hidden="false" customHeight="false" outlineLevel="0" collapsed="false">
      <c r="A12" s="15" t="s">
        <v>196</v>
      </c>
      <c r="B12" s="16" t="n">
        <v>45957.7083333333</v>
      </c>
      <c r="C12" s="17" t="n">
        <v>254.28</v>
      </c>
      <c r="D12" s="15" t="s">
        <v>197</v>
      </c>
      <c r="E12" s="15" t="s">
        <v>132</v>
      </c>
      <c r="F12" s="15" t="s">
        <v>69</v>
      </c>
      <c r="G12" s="15" t="s">
        <v>408</v>
      </c>
    </row>
    <row r="13" customFormat="false" ht="15" hidden="false" customHeight="false" outlineLevel="0" collapsed="false">
      <c r="A13" s="15" t="s">
        <v>320</v>
      </c>
      <c r="B13" s="16" t="n">
        <v>45941.0833333333</v>
      </c>
      <c r="C13" s="17" t="n">
        <v>1670.61</v>
      </c>
      <c r="D13" s="15" t="s">
        <v>321</v>
      </c>
      <c r="E13" s="15" t="s">
        <v>132</v>
      </c>
      <c r="F13" s="15" t="s">
        <v>127</v>
      </c>
      <c r="G13" s="15" t="s">
        <v>112</v>
      </c>
    </row>
    <row r="14" customFormat="false" ht="15" hidden="false" customHeight="false" outlineLevel="0" collapsed="false">
      <c r="A14" s="15" t="s">
        <v>203</v>
      </c>
      <c r="B14" s="16" t="n">
        <v>45932.9166666667</v>
      </c>
      <c r="C14" s="17" t="n">
        <v>666.68</v>
      </c>
      <c r="D14" s="15" t="s">
        <v>204</v>
      </c>
      <c r="E14" s="15" t="s">
        <v>107</v>
      </c>
      <c r="F14" s="15" t="s">
        <v>94</v>
      </c>
      <c r="G14" s="15" t="s">
        <v>206</v>
      </c>
    </row>
    <row r="15" customFormat="false" ht="15" hidden="false" customHeight="false" outlineLevel="0" collapsed="false">
      <c r="A15" s="15" t="s">
        <v>189</v>
      </c>
      <c r="B15" s="16" t="n">
        <v>45934.5</v>
      </c>
      <c r="C15" s="17" t="n">
        <v>1821.89</v>
      </c>
      <c r="D15" s="15" t="s">
        <v>190</v>
      </c>
      <c r="E15" s="15" t="s">
        <v>74</v>
      </c>
      <c r="F15" s="15" t="s">
        <v>69</v>
      </c>
      <c r="G15" s="15" t="s">
        <v>80</v>
      </c>
    </row>
    <row r="16" customFormat="false" ht="15" hidden="false" customHeight="false" outlineLevel="0" collapsed="false">
      <c r="A16" s="15" t="s">
        <v>253</v>
      </c>
      <c r="B16" s="16" t="n">
        <v>45950.5</v>
      </c>
      <c r="C16" s="17" t="n">
        <v>1077.32</v>
      </c>
      <c r="D16" s="15" t="s">
        <v>254</v>
      </c>
      <c r="E16" s="15" t="s">
        <v>93</v>
      </c>
      <c r="F16" s="15" t="s">
        <v>69</v>
      </c>
      <c r="G16" s="15" t="s">
        <v>409</v>
      </c>
    </row>
    <row r="17" customFormat="false" ht="15" hidden="false" customHeight="false" outlineLevel="0" collapsed="false">
      <c r="A17" s="15" t="s">
        <v>410</v>
      </c>
      <c r="B17" s="16" t="n">
        <v>45955</v>
      </c>
      <c r="C17" s="17" t="n">
        <v>280.15</v>
      </c>
      <c r="D17" s="15" t="s">
        <v>411</v>
      </c>
      <c r="E17" s="15" t="s">
        <v>412</v>
      </c>
      <c r="F17" s="15" t="s">
        <v>69</v>
      </c>
      <c r="G17" s="15" t="s">
        <v>413</v>
      </c>
    </row>
    <row r="18" customFormat="false" ht="15" hidden="false" customHeight="false" outlineLevel="0" collapsed="false">
      <c r="A18" s="15" t="s">
        <v>174</v>
      </c>
      <c r="B18" s="16" t="n">
        <v>45941.4583333333</v>
      </c>
      <c r="C18" s="17" t="n">
        <v>848.52</v>
      </c>
      <c r="D18" s="15" t="s">
        <v>175</v>
      </c>
      <c r="E18" s="15" t="s">
        <v>79</v>
      </c>
      <c r="F18" s="15" t="s">
        <v>69</v>
      </c>
      <c r="G18" s="15" t="s">
        <v>75</v>
      </c>
    </row>
    <row r="19" customFormat="false" ht="15" hidden="false" customHeight="false" outlineLevel="0" collapsed="false">
      <c r="A19" s="15" t="s">
        <v>392</v>
      </c>
      <c r="B19" s="16" t="n">
        <v>45947.7083333333</v>
      </c>
      <c r="C19" s="17" t="n">
        <v>2065.21</v>
      </c>
      <c r="D19" s="15" t="s">
        <v>393</v>
      </c>
      <c r="E19" s="15" t="s">
        <v>79</v>
      </c>
      <c r="F19" s="15" t="s">
        <v>69</v>
      </c>
      <c r="G19" s="15" t="s">
        <v>163</v>
      </c>
    </row>
    <row r="20" customFormat="false" ht="15" hidden="false" customHeight="false" outlineLevel="0" collapsed="false">
      <c r="A20" s="15" t="s">
        <v>338</v>
      </c>
      <c r="B20" s="16" t="n">
        <v>45948.625</v>
      </c>
      <c r="C20" s="17" t="n">
        <v>160.35</v>
      </c>
      <c r="D20" s="15" t="s">
        <v>339</v>
      </c>
      <c r="E20" s="15" t="s">
        <v>123</v>
      </c>
      <c r="F20" s="15" t="s">
        <v>69</v>
      </c>
      <c r="G20" s="15" t="s">
        <v>98</v>
      </c>
    </row>
    <row r="21" customFormat="false" ht="15" hidden="false" customHeight="false" outlineLevel="0" collapsed="false">
      <c r="A21" s="15" t="s">
        <v>257</v>
      </c>
      <c r="B21" s="16" t="n">
        <v>45943.3333333333</v>
      </c>
      <c r="C21" s="17" t="n">
        <v>627.58</v>
      </c>
      <c r="D21" s="15" t="s">
        <v>258</v>
      </c>
      <c r="E21" s="15" t="s">
        <v>74</v>
      </c>
      <c r="F21" s="15" t="s">
        <v>94</v>
      </c>
      <c r="G21" s="15" t="s">
        <v>414</v>
      </c>
    </row>
    <row r="22" customFormat="false" ht="15" hidden="false" customHeight="false" outlineLevel="0" collapsed="false">
      <c r="A22" s="15" t="s">
        <v>347</v>
      </c>
      <c r="B22" s="16" t="n">
        <v>45946.0833333333</v>
      </c>
      <c r="C22" s="17" t="n">
        <v>77.42</v>
      </c>
      <c r="D22" s="15" t="s">
        <v>348</v>
      </c>
      <c r="E22" s="15" t="s">
        <v>88</v>
      </c>
      <c r="F22" s="15" t="s">
        <v>89</v>
      </c>
      <c r="G22" s="15" t="s">
        <v>108</v>
      </c>
    </row>
    <row r="23" customFormat="false" ht="15" hidden="false" customHeight="false" outlineLevel="0" collapsed="false">
      <c r="A23" s="15" t="s">
        <v>157</v>
      </c>
      <c r="B23" s="16" t="n">
        <v>45951.4166666667</v>
      </c>
      <c r="C23" s="17" t="n">
        <v>1224.07</v>
      </c>
      <c r="D23" s="15" t="s">
        <v>158</v>
      </c>
      <c r="E23" s="15" t="s">
        <v>74</v>
      </c>
      <c r="F23" s="15" t="s">
        <v>69</v>
      </c>
      <c r="G23" s="15" t="s">
        <v>415</v>
      </c>
    </row>
    <row r="24" customFormat="false" ht="15" hidden="false" customHeight="false" outlineLevel="0" collapsed="false">
      <c r="A24" s="15" t="s">
        <v>186</v>
      </c>
      <c r="B24" s="16" t="n">
        <v>45936.3333333333</v>
      </c>
      <c r="C24" s="17" t="n">
        <v>1080.47</v>
      </c>
      <c r="D24" s="15" t="s">
        <v>187</v>
      </c>
      <c r="E24" s="15" t="s">
        <v>123</v>
      </c>
      <c r="F24" s="15" t="s">
        <v>69</v>
      </c>
      <c r="G24" s="15" t="s">
        <v>70</v>
      </c>
    </row>
    <row r="25" customFormat="false" ht="15" hidden="false" customHeight="false" outlineLevel="0" collapsed="false">
      <c r="A25" s="15" t="s">
        <v>81</v>
      </c>
      <c r="B25" s="16" t="n">
        <v>45945.75</v>
      </c>
      <c r="C25" s="17" t="n">
        <v>1125.78</v>
      </c>
      <c r="D25" s="15" t="s">
        <v>82</v>
      </c>
      <c r="E25" s="15" t="s">
        <v>68</v>
      </c>
      <c r="F25" s="15" t="s">
        <v>69</v>
      </c>
      <c r="G25" s="15" t="s">
        <v>84</v>
      </c>
    </row>
    <row r="26" customFormat="false" ht="15" hidden="false" customHeight="false" outlineLevel="0" collapsed="false">
      <c r="A26" s="15" t="s">
        <v>344</v>
      </c>
      <c r="B26" s="16" t="n">
        <v>45950</v>
      </c>
      <c r="C26" s="17" t="n">
        <v>1837.91</v>
      </c>
      <c r="D26" s="15" t="s">
        <v>345</v>
      </c>
      <c r="E26" s="15" t="s">
        <v>79</v>
      </c>
      <c r="F26" s="15" t="s">
        <v>69</v>
      </c>
      <c r="G26" s="15" t="s">
        <v>116</v>
      </c>
    </row>
    <row r="27" customFormat="false" ht="15" hidden="false" customHeight="false" outlineLevel="0" collapsed="false">
      <c r="A27" s="15" t="s">
        <v>287</v>
      </c>
      <c r="B27" s="16" t="n">
        <v>45949.5</v>
      </c>
      <c r="C27" s="17" t="n">
        <v>2372.44</v>
      </c>
      <c r="D27" s="15" t="s">
        <v>288</v>
      </c>
      <c r="E27" s="15" t="s">
        <v>88</v>
      </c>
      <c r="F27" s="15" t="s">
        <v>69</v>
      </c>
      <c r="G27" s="15" t="s">
        <v>170</v>
      </c>
    </row>
    <row r="28" customFormat="false" ht="15" hidden="false" customHeight="false" outlineLevel="0" collapsed="false">
      <c r="A28" s="15" t="s">
        <v>151</v>
      </c>
      <c r="B28" s="16" t="n">
        <v>45956.375</v>
      </c>
      <c r="C28" s="17" t="n">
        <v>1271.67</v>
      </c>
      <c r="D28" s="15" t="s">
        <v>152</v>
      </c>
      <c r="E28" s="15" t="s">
        <v>74</v>
      </c>
      <c r="F28" s="15" t="s">
        <v>94</v>
      </c>
      <c r="G28" s="15" t="s">
        <v>112</v>
      </c>
    </row>
    <row r="29" customFormat="false" ht="15" hidden="false" customHeight="false" outlineLevel="0" collapsed="false">
      <c r="A29" s="15" t="s">
        <v>90</v>
      </c>
      <c r="B29" s="16" t="n">
        <v>45947.7916666667</v>
      </c>
      <c r="C29" s="17" t="n">
        <v>1511.3</v>
      </c>
      <c r="D29" s="15" t="s">
        <v>91</v>
      </c>
      <c r="E29" s="15" t="s">
        <v>93</v>
      </c>
      <c r="F29" s="15" t="s">
        <v>94</v>
      </c>
      <c r="G29" s="15" t="s">
        <v>70</v>
      </c>
    </row>
    <row r="30" customFormat="false" ht="15" hidden="false" customHeight="false" outlineLevel="0" collapsed="false">
      <c r="A30" s="15" t="s">
        <v>238</v>
      </c>
      <c r="B30" s="16" t="n">
        <v>45960</v>
      </c>
      <c r="C30" s="17" t="n">
        <v>392.84</v>
      </c>
      <c r="D30" s="15" t="s">
        <v>239</v>
      </c>
      <c r="E30" s="15" t="s">
        <v>68</v>
      </c>
      <c r="F30" s="15" t="s">
        <v>69</v>
      </c>
      <c r="G30" s="15" t="s">
        <v>222</v>
      </c>
    </row>
    <row r="31" customFormat="false" ht="15" hidden="false" customHeight="false" outlineLevel="0" collapsed="false">
      <c r="A31" s="15" t="s">
        <v>95</v>
      </c>
      <c r="B31" s="16" t="n">
        <v>45961.5416666667</v>
      </c>
      <c r="C31" s="17" t="n">
        <v>201.61</v>
      </c>
      <c r="D31" s="15" t="s">
        <v>96</v>
      </c>
      <c r="E31" s="15" t="s">
        <v>68</v>
      </c>
      <c r="F31" s="15" t="s">
        <v>69</v>
      </c>
      <c r="G31" s="15" t="s">
        <v>98</v>
      </c>
    </row>
    <row r="32" customFormat="false" ht="15" hidden="false" customHeight="false" outlineLevel="0" collapsed="false">
      <c r="A32" s="15" t="s">
        <v>71</v>
      </c>
      <c r="B32" s="16" t="n">
        <v>45954.4583333333</v>
      </c>
      <c r="C32" s="17" t="n">
        <v>2230.99</v>
      </c>
      <c r="D32" s="15" t="s">
        <v>72</v>
      </c>
      <c r="E32" s="15" t="s">
        <v>74</v>
      </c>
      <c r="F32" s="15" t="s">
        <v>69</v>
      </c>
      <c r="G32" s="15" t="s">
        <v>416</v>
      </c>
    </row>
    <row r="33" customFormat="false" ht="15" hidden="false" customHeight="false" outlineLevel="0" collapsed="false">
      <c r="A33" s="15" t="s">
        <v>317</v>
      </c>
      <c r="B33" s="16" t="n">
        <v>45959.0416666667</v>
      </c>
      <c r="C33" s="17" t="n">
        <v>1297.3</v>
      </c>
      <c r="D33" s="15" t="s">
        <v>318</v>
      </c>
      <c r="E33" s="15" t="s">
        <v>93</v>
      </c>
      <c r="F33" s="15" t="s">
        <v>69</v>
      </c>
      <c r="G33" s="15" t="s">
        <v>195</v>
      </c>
    </row>
    <row r="34" customFormat="false" ht="15" hidden="false" customHeight="false" outlineLevel="0" collapsed="false">
      <c r="A34" s="15" t="s">
        <v>160</v>
      </c>
      <c r="B34" s="16" t="n">
        <v>45933.3333333333</v>
      </c>
      <c r="C34" s="17" t="n">
        <v>2195.63</v>
      </c>
      <c r="D34" s="15" t="s">
        <v>161</v>
      </c>
      <c r="E34" s="15" t="s">
        <v>74</v>
      </c>
      <c r="F34" s="15" t="s">
        <v>127</v>
      </c>
      <c r="G34" s="15" t="s">
        <v>163</v>
      </c>
    </row>
    <row r="35" customFormat="false" ht="15" hidden="false" customHeight="false" outlineLevel="0" collapsed="false">
      <c r="A35" s="15" t="s">
        <v>365</v>
      </c>
      <c r="B35" s="16" t="n">
        <v>45963.4583333333</v>
      </c>
      <c r="C35" s="17" t="n">
        <v>502.4</v>
      </c>
      <c r="D35" s="15" t="s">
        <v>366</v>
      </c>
      <c r="E35" s="15" t="s">
        <v>93</v>
      </c>
      <c r="F35" s="15" t="s">
        <v>69</v>
      </c>
      <c r="G35" s="15" t="s">
        <v>128</v>
      </c>
    </row>
    <row r="36" customFormat="false" ht="15" hidden="false" customHeight="false" outlineLevel="0" collapsed="false">
      <c r="A36" s="15" t="s">
        <v>216</v>
      </c>
      <c r="B36" s="16" t="n">
        <v>45944.5</v>
      </c>
      <c r="C36" s="17" t="n">
        <v>2354.28</v>
      </c>
      <c r="D36" s="15" t="s">
        <v>217</v>
      </c>
      <c r="E36" s="15" t="s">
        <v>79</v>
      </c>
      <c r="F36" s="15" t="s">
        <v>69</v>
      </c>
      <c r="G36" s="15" t="s">
        <v>112</v>
      </c>
    </row>
    <row r="37" customFormat="false" ht="15" hidden="false" customHeight="false" outlineLevel="0" collapsed="false">
      <c r="A37" s="15" t="s">
        <v>350</v>
      </c>
      <c r="B37" s="16" t="n">
        <v>45960.625</v>
      </c>
      <c r="C37" s="17" t="n">
        <v>2299.26</v>
      </c>
      <c r="D37" s="15" t="s">
        <v>351</v>
      </c>
      <c r="E37" s="15" t="s">
        <v>79</v>
      </c>
      <c r="F37" s="15" t="s">
        <v>89</v>
      </c>
      <c r="G37" s="15" t="s">
        <v>98</v>
      </c>
    </row>
    <row r="38" customFormat="false" ht="15" hidden="false" customHeight="false" outlineLevel="0" collapsed="false">
      <c r="A38" s="15" t="s">
        <v>229</v>
      </c>
      <c r="B38" s="16" t="n">
        <v>45939.9583333333</v>
      </c>
      <c r="C38" s="17" t="n">
        <v>666.68</v>
      </c>
      <c r="D38" s="15" t="s">
        <v>230</v>
      </c>
      <c r="E38" s="15" t="s">
        <v>88</v>
      </c>
      <c r="F38" s="15" t="s">
        <v>69</v>
      </c>
      <c r="G38" s="15" t="s">
        <v>170</v>
      </c>
    </row>
    <row r="39" customFormat="false" ht="15" hidden="false" customHeight="false" outlineLevel="0" collapsed="false">
      <c r="A39" s="15" t="s">
        <v>341</v>
      </c>
      <c r="B39" s="16" t="n">
        <v>45945.9583333333</v>
      </c>
      <c r="C39" s="17" t="n">
        <v>19.71</v>
      </c>
      <c r="D39" s="15" t="s">
        <v>342</v>
      </c>
      <c r="E39" s="15" t="s">
        <v>88</v>
      </c>
      <c r="F39" s="15" t="s">
        <v>89</v>
      </c>
      <c r="G39" s="15" t="s">
        <v>84</v>
      </c>
    </row>
    <row r="40" customFormat="false" ht="15" hidden="false" customHeight="false" outlineLevel="0" collapsed="false">
      <c r="A40" s="15" t="s">
        <v>219</v>
      </c>
      <c r="B40" s="16" t="n">
        <v>45935.0416666667</v>
      </c>
      <c r="C40" s="17" t="n">
        <v>1645.15</v>
      </c>
      <c r="D40" s="15" t="s">
        <v>220</v>
      </c>
      <c r="E40" s="15" t="s">
        <v>79</v>
      </c>
      <c r="F40" s="15" t="s">
        <v>69</v>
      </c>
      <c r="G40" s="15" t="s">
        <v>222</v>
      </c>
    </row>
    <row r="41" customFormat="false" ht="15" hidden="false" customHeight="false" outlineLevel="0" collapsed="false">
      <c r="A41" s="15" t="s">
        <v>76</v>
      </c>
      <c r="B41" s="16" t="n">
        <v>45933.375</v>
      </c>
      <c r="C41" s="17" t="n">
        <v>585.49</v>
      </c>
      <c r="D41" s="15" t="s">
        <v>77</v>
      </c>
      <c r="E41" s="15" t="s">
        <v>79</v>
      </c>
      <c r="F41" s="15" t="s">
        <v>69</v>
      </c>
      <c r="G41" s="15" t="s">
        <v>417</v>
      </c>
    </row>
    <row r="42" customFormat="false" ht="15" hidden="false" customHeight="false" outlineLevel="0" collapsed="false">
      <c r="A42" s="15" t="s">
        <v>418</v>
      </c>
      <c r="B42" s="16" t="n">
        <v>45958</v>
      </c>
      <c r="C42" s="17" t="n">
        <v>115.36</v>
      </c>
      <c r="D42" s="15" t="s">
        <v>411</v>
      </c>
      <c r="E42" s="15" t="s">
        <v>412</v>
      </c>
      <c r="F42" s="15" t="s">
        <v>69</v>
      </c>
      <c r="G42" s="15" t="s">
        <v>413</v>
      </c>
    </row>
    <row r="43" customFormat="false" ht="15" hidden="false" customHeight="false" outlineLevel="0" collapsed="false">
      <c r="A43" s="15" t="s">
        <v>278</v>
      </c>
      <c r="B43" s="16" t="n">
        <v>45966.5</v>
      </c>
      <c r="C43" s="17" t="n">
        <v>100.45</v>
      </c>
      <c r="D43" s="15" t="s">
        <v>279</v>
      </c>
      <c r="E43" s="15" t="s">
        <v>79</v>
      </c>
      <c r="F43" s="15" t="s">
        <v>69</v>
      </c>
      <c r="G43" s="15" t="s">
        <v>84</v>
      </c>
    </row>
    <row r="44" customFormat="false" ht="15" hidden="false" customHeight="false" outlineLevel="0" collapsed="false">
      <c r="A44" s="15" t="s">
        <v>302</v>
      </c>
      <c r="B44" s="16" t="n">
        <v>45948.6666666667</v>
      </c>
      <c r="C44" s="17" t="n">
        <v>1985.37</v>
      </c>
      <c r="D44" s="15" t="s">
        <v>303</v>
      </c>
      <c r="E44" s="15" t="s">
        <v>136</v>
      </c>
      <c r="F44" s="15" t="s">
        <v>69</v>
      </c>
      <c r="G44" s="15" t="s">
        <v>150</v>
      </c>
    </row>
    <row r="45" customFormat="false" ht="15" hidden="false" customHeight="false" outlineLevel="0" collapsed="false">
      <c r="A45" s="15" t="s">
        <v>395</v>
      </c>
      <c r="B45" s="16" t="n">
        <v>45942</v>
      </c>
      <c r="C45" s="17" t="n">
        <v>613.44</v>
      </c>
      <c r="D45" s="15" t="s">
        <v>396</v>
      </c>
      <c r="E45" s="15" t="s">
        <v>107</v>
      </c>
      <c r="F45" s="15" t="s">
        <v>89</v>
      </c>
      <c r="G45" s="15" t="s">
        <v>398</v>
      </c>
    </row>
    <row r="46" customFormat="false" ht="15" hidden="false" customHeight="false" outlineLevel="0" collapsed="false">
      <c r="A46" s="15" t="s">
        <v>183</v>
      </c>
      <c r="B46" s="16" t="n">
        <v>45950.875</v>
      </c>
      <c r="C46" s="17" t="n">
        <v>611.28</v>
      </c>
      <c r="D46" s="15" t="s">
        <v>184</v>
      </c>
      <c r="E46" s="15" t="s">
        <v>107</v>
      </c>
      <c r="F46" s="15" t="s">
        <v>69</v>
      </c>
      <c r="G46" s="15" t="s">
        <v>70</v>
      </c>
    </row>
    <row r="47" customFormat="false" ht="15" hidden="false" customHeight="false" outlineLevel="0" collapsed="false">
      <c r="A47" s="15" t="s">
        <v>311</v>
      </c>
      <c r="B47" s="16" t="n">
        <v>45947</v>
      </c>
      <c r="C47" s="17" t="n">
        <v>1441.3</v>
      </c>
      <c r="D47" s="15" t="s">
        <v>312</v>
      </c>
      <c r="E47" s="15" t="s">
        <v>123</v>
      </c>
      <c r="F47" s="15" t="s">
        <v>69</v>
      </c>
      <c r="G47" s="15" t="s">
        <v>128</v>
      </c>
    </row>
    <row r="48" customFormat="false" ht="15" hidden="false" customHeight="false" outlineLevel="0" collapsed="false">
      <c r="A48" s="15" t="s">
        <v>362</v>
      </c>
      <c r="B48" s="16" t="n">
        <v>45963.8333333333</v>
      </c>
      <c r="C48" s="17" t="n">
        <v>564.43</v>
      </c>
      <c r="D48" s="15" t="s">
        <v>363</v>
      </c>
      <c r="E48" s="15" t="s">
        <v>74</v>
      </c>
      <c r="F48" s="15" t="s">
        <v>69</v>
      </c>
      <c r="G48" s="15" t="s">
        <v>419</v>
      </c>
    </row>
    <row r="49" customFormat="false" ht="15" hidden="false" customHeight="false" outlineLevel="0" collapsed="false">
      <c r="A49" s="15" t="s">
        <v>147</v>
      </c>
      <c r="B49" s="16" t="n">
        <v>45941.6666666667</v>
      </c>
      <c r="C49" s="17" t="n">
        <v>399.6</v>
      </c>
      <c r="D49" s="15" t="s">
        <v>148</v>
      </c>
      <c r="E49" s="15" t="s">
        <v>93</v>
      </c>
      <c r="F49" s="15" t="s">
        <v>69</v>
      </c>
      <c r="G49" s="15" t="s">
        <v>150</v>
      </c>
    </row>
    <row r="50" customFormat="false" ht="15" hidden="false" customHeight="false" outlineLevel="0" collapsed="false">
      <c r="A50" s="15" t="s">
        <v>250</v>
      </c>
      <c r="B50" s="16" t="n">
        <v>45964.25</v>
      </c>
      <c r="C50" s="17" t="n">
        <v>2260.3</v>
      </c>
      <c r="D50" s="15" t="s">
        <v>251</v>
      </c>
      <c r="E50" s="15" t="s">
        <v>132</v>
      </c>
      <c r="F50" s="15" t="s">
        <v>69</v>
      </c>
      <c r="G50" s="15" t="s">
        <v>98</v>
      </c>
    </row>
    <row r="51" customFormat="false" ht="15" hidden="false" customHeight="false" outlineLevel="0" collapsed="false">
      <c r="A51" s="15" t="s">
        <v>332</v>
      </c>
      <c r="B51" s="16" t="n">
        <v>45943.7083333333</v>
      </c>
      <c r="C51" s="17" t="n">
        <v>2233.1</v>
      </c>
      <c r="D51" s="15" t="s">
        <v>333</v>
      </c>
      <c r="E51" s="15" t="s">
        <v>74</v>
      </c>
      <c r="F51" s="15" t="s">
        <v>69</v>
      </c>
      <c r="G51" s="15" t="s">
        <v>202</v>
      </c>
    </row>
    <row r="52" customFormat="false" ht="15" hidden="false" customHeight="false" outlineLevel="0" collapsed="false">
      <c r="A52" s="15" t="s">
        <v>167</v>
      </c>
      <c r="B52" s="16" t="n">
        <v>45940.875</v>
      </c>
      <c r="C52" s="17" t="n">
        <v>2181.72</v>
      </c>
      <c r="D52" s="15" t="s">
        <v>168</v>
      </c>
      <c r="E52" s="15" t="s">
        <v>123</v>
      </c>
      <c r="F52" s="15" t="s">
        <v>69</v>
      </c>
      <c r="G52" s="15" t="s">
        <v>170</v>
      </c>
    </row>
    <row r="53" customFormat="false" ht="15" hidden="false" customHeight="false" outlineLevel="0" collapsed="false">
      <c r="A53" s="15" t="s">
        <v>210</v>
      </c>
      <c r="B53" s="16" t="n">
        <v>45955.4583333333</v>
      </c>
      <c r="C53" s="17" t="n">
        <v>147.63</v>
      </c>
      <c r="D53" s="15" t="s">
        <v>211</v>
      </c>
      <c r="E53" s="15" t="s">
        <v>79</v>
      </c>
      <c r="F53" s="15" t="s">
        <v>94</v>
      </c>
      <c r="G53" s="15" t="s">
        <v>108</v>
      </c>
    </row>
    <row r="54" customFormat="false" ht="15" hidden="false" customHeight="false" outlineLevel="0" collapsed="false">
      <c r="A54" s="15" t="s">
        <v>299</v>
      </c>
      <c r="B54" s="16" t="n">
        <v>45959.1666666667</v>
      </c>
      <c r="C54" s="17" t="n">
        <v>1518.62</v>
      </c>
      <c r="D54" s="15" t="s">
        <v>300</v>
      </c>
      <c r="E54" s="15" t="s">
        <v>88</v>
      </c>
      <c r="F54" s="15" t="s">
        <v>127</v>
      </c>
      <c r="G54" s="15" t="s">
        <v>222</v>
      </c>
    </row>
    <row r="55" customFormat="false" ht="15" hidden="false" customHeight="false" outlineLevel="0" collapsed="false">
      <c r="A55" s="15" t="s">
        <v>296</v>
      </c>
      <c r="B55" s="16" t="n">
        <v>45951.5</v>
      </c>
      <c r="C55" s="17" t="n">
        <v>1018.16</v>
      </c>
      <c r="D55" s="15" t="s">
        <v>297</v>
      </c>
      <c r="E55" s="15" t="s">
        <v>93</v>
      </c>
      <c r="F55" s="15" t="s">
        <v>69</v>
      </c>
      <c r="G55" s="15" t="s">
        <v>84</v>
      </c>
    </row>
    <row r="56" customFormat="false" ht="15" hidden="false" customHeight="false" outlineLevel="0" collapsed="false">
      <c r="A56" s="15" t="s">
        <v>133</v>
      </c>
      <c r="B56" s="16" t="n">
        <v>45944.75</v>
      </c>
      <c r="C56" s="17" t="n">
        <v>552.21</v>
      </c>
      <c r="D56" s="15" t="s">
        <v>134</v>
      </c>
      <c r="E56" s="15" t="s">
        <v>136</v>
      </c>
      <c r="F56" s="15" t="s">
        <v>69</v>
      </c>
      <c r="G56" s="15" t="s">
        <v>420</v>
      </c>
    </row>
    <row r="57" customFormat="false" ht="15" hidden="false" customHeight="false" outlineLevel="0" collapsed="false">
      <c r="A57" s="15" t="s">
        <v>192</v>
      </c>
      <c r="B57" s="16" t="n">
        <v>45950.4166666667</v>
      </c>
      <c r="C57" s="17" t="n">
        <v>1057.59</v>
      </c>
      <c r="D57" s="15" t="s">
        <v>193</v>
      </c>
      <c r="E57" s="15" t="s">
        <v>68</v>
      </c>
      <c r="F57" s="15" t="s">
        <v>69</v>
      </c>
      <c r="G57" s="15" t="s">
        <v>195</v>
      </c>
    </row>
    <row r="58" customFormat="false" ht="15" hidden="false" customHeight="false" outlineLevel="0" collapsed="false">
      <c r="A58" s="15" t="s">
        <v>323</v>
      </c>
      <c r="B58" s="16" t="n">
        <v>45959</v>
      </c>
      <c r="C58" s="17" t="n">
        <v>2230.59</v>
      </c>
      <c r="D58" s="15" t="s">
        <v>324</v>
      </c>
      <c r="E58" s="15" t="s">
        <v>123</v>
      </c>
      <c r="F58" s="15" t="s">
        <v>127</v>
      </c>
      <c r="G58" s="15" t="s">
        <v>108</v>
      </c>
    </row>
    <row r="59" customFormat="false" ht="15" hidden="false" customHeight="false" outlineLevel="0" collapsed="false">
      <c r="A59" s="15" t="s">
        <v>113</v>
      </c>
      <c r="B59" s="16" t="n">
        <v>45956.5416666667</v>
      </c>
      <c r="C59" s="17" t="n">
        <v>1337.68</v>
      </c>
      <c r="D59" s="15" t="s">
        <v>114</v>
      </c>
      <c r="E59" s="15" t="s">
        <v>102</v>
      </c>
      <c r="F59" s="15" t="s">
        <v>89</v>
      </c>
      <c r="G59" s="15" t="s">
        <v>421</v>
      </c>
    </row>
    <row r="60" customFormat="false" ht="15" hidden="false" customHeight="false" outlineLevel="0" collapsed="false">
      <c r="A60" s="15" t="s">
        <v>129</v>
      </c>
      <c r="B60" s="16" t="n">
        <v>45941.5416666667</v>
      </c>
      <c r="C60" s="17" t="n">
        <v>620.34</v>
      </c>
      <c r="D60" s="15" t="s">
        <v>130</v>
      </c>
      <c r="E60" s="15" t="s">
        <v>132</v>
      </c>
      <c r="F60" s="15" t="s">
        <v>89</v>
      </c>
      <c r="G60" s="15" t="s">
        <v>98</v>
      </c>
    </row>
    <row r="61" customFormat="false" ht="15" hidden="false" customHeight="false" outlineLevel="0" collapsed="false">
      <c r="A61" s="15" t="s">
        <v>374</v>
      </c>
      <c r="B61" s="16" t="n">
        <v>45935.8333333333</v>
      </c>
      <c r="C61" s="17" t="n">
        <v>69.07</v>
      </c>
      <c r="D61" s="15" t="s">
        <v>375</v>
      </c>
      <c r="E61" s="15" t="s">
        <v>68</v>
      </c>
      <c r="F61" s="15" t="s">
        <v>89</v>
      </c>
      <c r="G61" s="15" t="s">
        <v>422</v>
      </c>
    </row>
    <row r="62" customFormat="false" ht="15" hidden="false" customHeight="false" outlineLevel="0" collapsed="false">
      <c r="A62" s="15" t="s">
        <v>305</v>
      </c>
      <c r="B62" s="16" t="n">
        <v>45954.2083333333</v>
      </c>
      <c r="C62" s="17" t="n">
        <v>1550.06</v>
      </c>
      <c r="D62" s="15" t="s">
        <v>306</v>
      </c>
      <c r="E62" s="15" t="s">
        <v>74</v>
      </c>
      <c r="F62" s="15" t="s">
        <v>69</v>
      </c>
      <c r="G62" s="15" t="s">
        <v>170</v>
      </c>
    </row>
    <row r="63" customFormat="false" ht="15" hidden="false" customHeight="false" outlineLevel="0" collapsed="false">
      <c r="A63" s="15" t="s">
        <v>308</v>
      </c>
      <c r="B63" s="16" t="n">
        <v>45939.5</v>
      </c>
      <c r="C63" s="17" t="n">
        <v>372.65</v>
      </c>
      <c r="D63" s="15" t="s">
        <v>309</v>
      </c>
      <c r="E63" s="15" t="s">
        <v>93</v>
      </c>
      <c r="F63" s="15" t="s">
        <v>69</v>
      </c>
      <c r="G63" s="15" t="s">
        <v>423</v>
      </c>
    </row>
    <row r="64" customFormat="false" ht="15" hidden="false" customHeight="false" outlineLevel="0" collapsed="false">
      <c r="A64" s="15" t="s">
        <v>164</v>
      </c>
      <c r="B64" s="16" t="n">
        <v>45957.0416666667</v>
      </c>
      <c r="C64" s="17" t="n">
        <v>1915.76</v>
      </c>
      <c r="D64" s="15" t="s">
        <v>165</v>
      </c>
      <c r="E64" s="15" t="s">
        <v>136</v>
      </c>
      <c r="F64" s="15" t="s">
        <v>94</v>
      </c>
      <c r="G64" s="15" t="s">
        <v>108</v>
      </c>
    </row>
    <row r="65" customFormat="false" ht="15" hidden="false" customHeight="false" outlineLevel="0" collapsed="false">
      <c r="A65" s="15" t="s">
        <v>223</v>
      </c>
      <c r="B65" s="16" t="n">
        <v>45953.9166666667</v>
      </c>
      <c r="C65" s="17" t="n">
        <v>788.89</v>
      </c>
      <c r="D65" s="15" t="s">
        <v>224</v>
      </c>
      <c r="E65" s="15" t="s">
        <v>68</v>
      </c>
      <c r="F65" s="15" t="s">
        <v>69</v>
      </c>
      <c r="G65" s="15" t="s">
        <v>424</v>
      </c>
    </row>
    <row r="66" customFormat="false" ht="15" hidden="false" customHeight="false" outlineLevel="0" collapsed="false">
      <c r="A66" s="15" t="s">
        <v>213</v>
      </c>
      <c r="B66" s="16" t="n">
        <v>45934.125</v>
      </c>
      <c r="C66" s="17" t="n">
        <v>204.88</v>
      </c>
      <c r="D66" s="15" t="s">
        <v>214</v>
      </c>
      <c r="E66" s="15" t="s">
        <v>136</v>
      </c>
      <c r="F66" s="15" t="s">
        <v>69</v>
      </c>
      <c r="G66" s="15" t="s">
        <v>425</v>
      </c>
    </row>
    <row r="67" customFormat="false" ht="15" hidden="false" customHeight="false" outlineLevel="0" collapsed="false">
      <c r="A67" s="15" t="s">
        <v>99</v>
      </c>
      <c r="B67" s="16" t="n">
        <v>45943.375</v>
      </c>
      <c r="C67" s="17" t="n">
        <v>178.54</v>
      </c>
      <c r="D67" s="15" t="s">
        <v>100</v>
      </c>
      <c r="E67" s="15" t="s">
        <v>102</v>
      </c>
      <c r="F67" s="15" t="s">
        <v>69</v>
      </c>
      <c r="G67" s="15" t="s">
        <v>426</v>
      </c>
    </row>
    <row r="68" customFormat="false" ht="15" hidden="false" customHeight="false" outlineLevel="0" collapsed="false">
      <c r="A68" s="15" t="s">
        <v>383</v>
      </c>
      <c r="B68" s="16" t="n">
        <v>45948.8333333333</v>
      </c>
      <c r="C68" s="17" t="n">
        <v>1655.5</v>
      </c>
      <c r="D68" s="15" t="s">
        <v>384</v>
      </c>
      <c r="E68" s="15" t="s">
        <v>74</v>
      </c>
      <c r="F68" s="15" t="s">
        <v>69</v>
      </c>
      <c r="G68" s="15" t="s">
        <v>75</v>
      </c>
    </row>
    <row r="69" customFormat="false" ht="15" hidden="false" customHeight="false" outlineLevel="0" collapsed="false">
      <c r="A69" s="15" t="s">
        <v>241</v>
      </c>
      <c r="B69" s="16" t="n">
        <v>45953.875</v>
      </c>
      <c r="C69" s="17" t="n">
        <v>2133.02</v>
      </c>
      <c r="D69" s="15" t="s">
        <v>242</v>
      </c>
      <c r="E69" s="15" t="s">
        <v>132</v>
      </c>
      <c r="F69" s="15" t="s">
        <v>69</v>
      </c>
      <c r="G69" s="15" t="s">
        <v>163</v>
      </c>
    </row>
    <row r="70" customFormat="false" ht="15" hidden="false" customHeight="false" outlineLevel="0" collapsed="false">
      <c r="A70" s="15" t="s">
        <v>427</v>
      </c>
      <c r="B70" s="16" t="n">
        <v>45945</v>
      </c>
      <c r="C70" s="17" t="n">
        <v>445.16</v>
      </c>
      <c r="D70" s="15" t="s">
        <v>411</v>
      </c>
      <c r="E70" s="15" t="s">
        <v>412</v>
      </c>
      <c r="F70" s="15" t="s">
        <v>69</v>
      </c>
      <c r="G70" s="15" t="s">
        <v>413</v>
      </c>
    </row>
    <row r="71" customFormat="false" ht="15" hidden="false" customHeight="false" outlineLevel="0" collapsed="false">
      <c r="A71" s="15" t="s">
        <v>138</v>
      </c>
      <c r="B71" s="16" t="n">
        <v>45963.1666666667</v>
      </c>
      <c r="C71" s="17" t="n">
        <v>386.34</v>
      </c>
      <c r="D71" s="15" t="s">
        <v>139</v>
      </c>
      <c r="E71" s="15" t="s">
        <v>136</v>
      </c>
      <c r="F71" s="15" t="s">
        <v>89</v>
      </c>
      <c r="G71" s="15" t="s">
        <v>112</v>
      </c>
    </row>
    <row r="72" customFormat="false" ht="15" hidden="false" customHeight="false" outlineLevel="0" collapsed="false">
      <c r="A72" s="15" t="s">
        <v>232</v>
      </c>
      <c r="B72" s="16" t="n">
        <v>45937.8333333333</v>
      </c>
      <c r="C72" s="17" t="n">
        <v>2085.19</v>
      </c>
      <c r="D72" s="15" t="s">
        <v>233</v>
      </c>
      <c r="E72" s="15" t="s">
        <v>68</v>
      </c>
      <c r="F72" s="15" t="s">
        <v>94</v>
      </c>
      <c r="G72" s="15" t="s">
        <v>428</v>
      </c>
    </row>
    <row r="73" customFormat="false" ht="15" hidden="false" customHeight="false" outlineLevel="0" collapsed="false">
      <c r="A73" s="15" t="s">
        <v>329</v>
      </c>
      <c r="B73" s="16" t="n">
        <v>45951.625</v>
      </c>
      <c r="C73" s="17" t="n">
        <v>690.12</v>
      </c>
      <c r="D73" s="15" t="s">
        <v>330</v>
      </c>
      <c r="E73" s="15" t="s">
        <v>74</v>
      </c>
      <c r="F73" s="15" t="s">
        <v>69</v>
      </c>
      <c r="G73" s="15" t="s">
        <v>116</v>
      </c>
    </row>
    <row r="74" customFormat="false" ht="15" hidden="false" customHeight="false" outlineLevel="0" collapsed="false">
      <c r="A74" s="15" t="s">
        <v>335</v>
      </c>
      <c r="B74" s="16" t="n">
        <v>45954.1666666667</v>
      </c>
      <c r="C74" s="17" t="n">
        <v>1767.52</v>
      </c>
      <c r="D74" s="15" t="s">
        <v>336</v>
      </c>
      <c r="E74" s="15" t="s">
        <v>74</v>
      </c>
      <c r="F74" s="15" t="s">
        <v>69</v>
      </c>
      <c r="G74" s="15" t="s">
        <v>80</v>
      </c>
    </row>
    <row r="75" customFormat="false" ht="15" hidden="false" customHeight="false" outlineLevel="0" collapsed="false">
      <c r="A75" s="15" t="s">
        <v>104</v>
      </c>
      <c r="B75" s="16" t="n">
        <v>45963.4583333333</v>
      </c>
      <c r="C75" s="17" t="n">
        <v>953.41</v>
      </c>
      <c r="D75" s="15" t="s">
        <v>105</v>
      </c>
      <c r="E75" s="15" t="s">
        <v>107</v>
      </c>
      <c r="F75" s="15" t="s">
        <v>69</v>
      </c>
      <c r="G75" s="15" t="s">
        <v>108</v>
      </c>
    </row>
    <row r="76" customFormat="false" ht="15" hidden="false" customHeight="false" outlineLevel="0" collapsed="false">
      <c r="A76" s="15" t="s">
        <v>326</v>
      </c>
      <c r="B76" s="16" t="n">
        <v>45957.0416666667</v>
      </c>
      <c r="C76" s="17" t="n">
        <v>1127.92</v>
      </c>
      <c r="D76" s="15" t="s">
        <v>327</v>
      </c>
      <c r="E76" s="15" t="s">
        <v>102</v>
      </c>
      <c r="F76" s="15" t="s">
        <v>94</v>
      </c>
      <c r="G76" s="15" t="s">
        <v>206</v>
      </c>
    </row>
    <row r="77" customFormat="false" ht="15" hidden="false" customHeight="false" outlineLevel="0" collapsed="false">
      <c r="A77" s="15" t="s">
        <v>141</v>
      </c>
      <c r="B77" s="16" t="n">
        <v>45935.5833333333</v>
      </c>
      <c r="C77" s="17" t="n">
        <v>957.14</v>
      </c>
      <c r="D77" s="15" t="s">
        <v>142</v>
      </c>
      <c r="E77" s="15" t="s">
        <v>107</v>
      </c>
      <c r="F77" s="15" t="s">
        <v>94</v>
      </c>
      <c r="G77" s="15" t="s">
        <v>429</v>
      </c>
    </row>
    <row r="78" customFormat="false" ht="15" hidden="false" customHeight="false" outlineLevel="0" collapsed="false">
      <c r="A78" s="15" t="s">
        <v>377</v>
      </c>
      <c r="B78" s="16" t="n">
        <v>45962.2083333333</v>
      </c>
      <c r="C78" s="17" t="n">
        <v>499.83</v>
      </c>
      <c r="D78" s="15" t="s">
        <v>378</v>
      </c>
      <c r="E78" s="15" t="s">
        <v>79</v>
      </c>
      <c r="F78" s="15" t="s">
        <v>69</v>
      </c>
      <c r="G78" s="15" t="s">
        <v>70</v>
      </c>
    </row>
    <row r="79" customFormat="false" ht="15" hidden="false" customHeight="false" outlineLevel="0" collapsed="false">
      <c r="A79" s="15" t="s">
        <v>389</v>
      </c>
      <c r="B79" s="16" t="n">
        <v>45945.625</v>
      </c>
      <c r="C79" s="17" t="n">
        <v>1835.82</v>
      </c>
      <c r="D79" s="15" t="s">
        <v>390</v>
      </c>
      <c r="E79" s="15" t="s">
        <v>68</v>
      </c>
      <c r="F79" s="15" t="s">
        <v>94</v>
      </c>
      <c r="G79" s="15" t="s">
        <v>206</v>
      </c>
    </row>
    <row r="80" customFormat="false" ht="15" hidden="false" customHeight="false" outlineLevel="0" collapsed="false">
      <c r="A80" s="15" t="s">
        <v>275</v>
      </c>
      <c r="B80" s="16" t="n">
        <v>45956.125</v>
      </c>
      <c r="C80" s="17" t="n">
        <v>832.22</v>
      </c>
      <c r="D80" s="15" t="s">
        <v>276</v>
      </c>
      <c r="E80" s="15" t="s">
        <v>93</v>
      </c>
      <c r="F80" s="15" t="s">
        <v>69</v>
      </c>
      <c r="G80" s="15" t="s">
        <v>98</v>
      </c>
    </row>
    <row r="81" customFormat="false" ht="15" hidden="false" customHeight="false" outlineLevel="0" collapsed="false">
      <c r="A81" s="15" t="s">
        <v>356</v>
      </c>
      <c r="B81" s="16" t="n">
        <v>45942.7916666667</v>
      </c>
      <c r="C81" s="17" t="n">
        <v>821.74</v>
      </c>
      <c r="D81" s="15" t="s">
        <v>357</v>
      </c>
      <c r="E81" s="15" t="s">
        <v>107</v>
      </c>
      <c r="F81" s="15" t="s">
        <v>89</v>
      </c>
      <c r="G81" s="15" t="s">
        <v>421</v>
      </c>
    </row>
    <row r="82" customFormat="false" ht="15" hidden="false" customHeight="false" outlineLevel="0" collapsed="false">
      <c r="A82" s="15" t="s">
        <v>117</v>
      </c>
      <c r="B82" s="16" t="n">
        <v>45964.2083333333</v>
      </c>
      <c r="C82" s="17" t="n">
        <v>1721.96</v>
      </c>
      <c r="D82" s="15" t="s">
        <v>118</v>
      </c>
      <c r="E82" s="15" t="s">
        <v>102</v>
      </c>
      <c r="F82" s="15" t="s">
        <v>69</v>
      </c>
      <c r="G82" s="15" t="s">
        <v>425</v>
      </c>
    </row>
    <row r="83" customFormat="false" ht="15" hidden="false" customHeight="false" outlineLevel="0" collapsed="false">
      <c r="A83" s="15" t="s">
        <v>120</v>
      </c>
      <c r="B83" s="16" t="n">
        <v>45958.3333333333</v>
      </c>
      <c r="C83" s="17" t="n">
        <v>2013.59</v>
      </c>
      <c r="D83" s="15" t="s">
        <v>121</v>
      </c>
      <c r="E83" s="15" t="s">
        <v>123</v>
      </c>
      <c r="F83" s="15" t="s">
        <v>69</v>
      </c>
      <c r="G83" s="15" t="s">
        <v>430</v>
      </c>
    </row>
    <row r="84" customFormat="false" ht="15" hidden="false" customHeight="false" outlineLevel="0" collapsed="false">
      <c r="A84" s="15" t="s">
        <v>109</v>
      </c>
      <c r="B84" s="16" t="n">
        <v>45943.6666666667</v>
      </c>
      <c r="C84" s="17" t="n">
        <v>527.72</v>
      </c>
      <c r="D84" s="15" t="s">
        <v>110</v>
      </c>
      <c r="E84" s="15" t="s">
        <v>68</v>
      </c>
      <c r="F84" s="15" t="s">
        <v>69</v>
      </c>
      <c r="G84" s="15" t="s">
        <v>431</v>
      </c>
    </row>
    <row r="85" customFormat="false" ht="15" hidden="false" customHeight="false" outlineLevel="0" collapsed="false">
      <c r="A85" s="15" t="s">
        <v>293</v>
      </c>
      <c r="B85" s="16" t="n">
        <v>45940.625</v>
      </c>
      <c r="C85" s="17" t="n">
        <v>1054.01</v>
      </c>
      <c r="D85" s="15" t="s">
        <v>294</v>
      </c>
      <c r="E85" s="15" t="s">
        <v>123</v>
      </c>
      <c r="F85" s="15" t="s">
        <v>69</v>
      </c>
      <c r="G85" s="15" t="s">
        <v>112</v>
      </c>
    </row>
    <row r="86" customFormat="false" ht="15" hidden="false" customHeight="false" outlineLevel="0" collapsed="false">
      <c r="A86" s="15" t="s">
        <v>154</v>
      </c>
      <c r="B86" s="16" t="n">
        <v>45940.4166666667</v>
      </c>
      <c r="C86" s="17" t="n">
        <v>937.92</v>
      </c>
      <c r="D86" s="15" t="s">
        <v>155</v>
      </c>
      <c r="E86" s="15" t="s">
        <v>136</v>
      </c>
      <c r="F86" s="15" t="s">
        <v>94</v>
      </c>
      <c r="G86" s="15" t="s">
        <v>432</v>
      </c>
    </row>
    <row r="87" customFormat="false" ht="15" hidden="false" customHeight="false" outlineLevel="0" collapsed="false">
      <c r="A87" s="15" t="s">
        <v>247</v>
      </c>
      <c r="B87" s="16" t="n">
        <v>45938.4166666667</v>
      </c>
      <c r="C87" s="17" t="n">
        <v>1107.38</v>
      </c>
      <c r="D87" s="15" t="s">
        <v>248</v>
      </c>
      <c r="E87" s="15" t="s">
        <v>123</v>
      </c>
      <c r="F87" s="15" t="s">
        <v>69</v>
      </c>
      <c r="G87" s="15" t="s">
        <v>163</v>
      </c>
    </row>
    <row r="88" customFormat="false" ht="15" hidden="false" customHeight="false" outlineLevel="0" collapsed="false">
      <c r="A88" s="15" t="s">
        <v>199</v>
      </c>
      <c r="B88" s="16" t="n">
        <v>45938.6666666667</v>
      </c>
      <c r="C88" s="17" t="n">
        <v>1216.67</v>
      </c>
      <c r="D88" s="15" t="s">
        <v>200</v>
      </c>
      <c r="E88" s="15" t="s">
        <v>102</v>
      </c>
      <c r="F88" s="15" t="s">
        <v>69</v>
      </c>
      <c r="G88" s="15" t="s">
        <v>433</v>
      </c>
    </row>
    <row r="89" customFormat="false" ht="15" hidden="false" customHeight="false" outlineLevel="0" collapsed="false">
      <c r="A89" s="15" t="s">
        <v>368</v>
      </c>
      <c r="B89" s="16" t="n">
        <v>45947.9583333333</v>
      </c>
      <c r="C89" s="17" t="n">
        <v>290.4</v>
      </c>
      <c r="D89" s="15" t="s">
        <v>369</v>
      </c>
      <c r="E89" s="15" t="s">
        <v>102</v>
      </c>
      <c r="F89" s="15" t="s">
        <v>69</v>
      </c>
      <c r="G89" s="15" t="s">
        <v>409</v>
      </c>
    </row>
    <row r="90" customFormat="false" ht="15" hidden="false" customHeight="false" outlineLevel="0" collapsed="false">
      <c r="A90" s="15" t="s">
        <v>386</v>
      </c>
      <c r="B90" s="16" t="n">
        <v>45960.8333333333</v>
      </c>
      <c r="C90" s="17" t="n">
        <v>2056.72</v>
      </c>
      <c r="D90" s="15" t="s">
        <v>387</v>
      </c>
      <c r="E90" s="15" t="s">
        <v>74</v>
      </c>
      <c r="F90" s="15" t="s">
        <v>127</v>
      </c>
      <c r="G90" s="15" t="s">
        <v>434</v>
      </c>
    </row>
    <row r="91" customFormat="false" ht="15" hidden="false" customHeight="false" outlineLevel="0" collapsed="false">
      <c r="A91" s="15" t="s">
        <v>272</v>
      </c>
      <c r="B91" s="16" t="n">
        <v>45944.4166666667</v>
      </c>
      <c r="C91" s="17" t="n">
        <v>2161.56</v>
      </c>
      <c r="D91" s="15" t="s">
        <v>273</v>
      </c>
      <c r="E91" s="15" t="s">
        <v>68</v>
      </c>
      <c r="F91" s="15" t="s">
        <v>94</v>
      </c>
      <c r="G91" s="15" t="s">
        <v>435</v>
      </c>
    </row>
    <row r="92" customFormat="false" ht="15" hidden="false" customHeight="false" outlineLevel="0" collapsed="false">
      <c r="A92" s="15" t="s">
        <v>226</v>
      </c>
      <c r="B92" s="16" t="n">
        <v>45944.375</v>
      </c>
      <c r="C92" s="17" t="n">
        <v>28.24</v>
      </c>
      <c r="D92" s="15" t="s">
        <v>227</v>
      </c>
      <c r="E92" s="15" t="s">
        <v>79</v>
      </c>
      <c r="F92" s="15" t="s">
        <v>69</v>
      </c>
      <c r="G92" s="15" t="s">
        <v>80</v>
      </c>
    </row>
    <row r="93" customFormat="false" ht="15" hidden="false" customHeight="false" outlineLevel="0" collapsed="false">
      <c r="A93" s="15" t="s">
        <v>124</v>
      </c>
      <c r="B93" s="16" t="n">
        <v>45962</v>
      </c>
      <c r="C93" s="17" t="n">
        <v>790.12</v>
      </c>
      <c r="D93" s="15" t="s">
        <v>125</v>
      </c>
      <c r="E93" s="15" t="s">
        <v>107</v>
      </c>
      <c r="F93" s="15" t="s">
        <v>127</v>
      </c>
      <c r="G93" s="15" t="s">
        <v>436</v>
      </c>
    </row>
    <row r="94" customFormat="false" ht="15" hidden="false" customHeight="false" outlineLevel="0" collapsed="false">
      <c r="A94" s="15" t="s">
        <v>269</v>
      </c>
      <c r="B94" s="16" t="n">
        <v>45943.75</v>
      </c>
      <c r="C94" s="17" t="n">
        <v>2052.24</v>
      </c>
      <c r="D94" s="15" t="s">
        <v>270</v>
      </c>
      <c r="E94" s="15" t="s">
        <v>102</v>
      </c>
      <c r="F94" s="15" t="s">
        <v>69</v>
      </c>
      <c r="G94" s="15" t="s">
        <v>202</v>
      </c>
    </row>
    <row r="95" customFormat="false" ht="15" hidden="false" customHeight="false" outlineLevel="0" collapsed="false">
      <c r="A95" s="15" t="s">
        <v>260</v>
      </c>
      <c r="B95" s="16" t="n">
        <v>45952.125</v>
      </c>
      <c r="C95" s="17" t="n">
        <v>390.61</v>
      </c>
      <c r="D95" s="15" t="s">
        <v>261</v>
      </c>
      <c r="E95" s="15" t="s">
        <v>102</v>
      </c>
      <c r="F95" s="15" t="s">
        <v>69</v>
      </c>
      <c r="G95" s="15" t="s">
        <v>84</v>
      </c>
    </row>
    <row r="96" customFormat="false" ht="15" hidden="false" customHeight="false" outlineLevel="0" collapsed="false">
      <c r="A96" s="15" t="s">
        <v>284</v>
      </c>
      <c r="B96" s="16" t="n">
        <v>45932.875</v>
      </c>
      <c r="C96" s="17" t="n">
        <v>2314.31</v>
      </c>
      <c r="D96" s="15" t="s">
        <v>285</v>
      </c>
      <c r="E96" s="15" t="s">
        <v>132</v>
      </c>
      <c r="F96" s="15" t="s">
        <v>69</v>
      </c>
      <c r="G96" s="15" t="s">
        <v>256</v>
      </c>
    </row>
    <row r="97" customFormat="false" ht="15" hidden="false" customHeight="false" outlineLevel="0" collapsed="false">
      <c r="A97" s="15" t="s">
        <v>235</v>
      </c>
      <c r="B97" s="16" t="n">
        <v>45955.9583333333</v>
      </c>
      <c r="C97" s="17" t="n">
        <v>751.95</v>
      </c>
      <c r="D97" s="15" t="s">
        <v>236</v>
      </c>
      <c r="E97" s="15" t="s">
        <v>74</v>
      </c>
      <c r="F97" s="15" t="s">
        <v>69</v>
      </c>
      <c r="G97" s="15" t="s">
        <v>70</v>
      </c>
    </row>
    <row r="98" customFormat="false" ht="15" hidden="false" customHeight="false" outlineLevel="0" collapsed="false">
      <c r="A98" s="15" t="s">
        <v>266</v>
      </c>
      <c r="B98" s="16" t="n">
        <v>45938</v>
      </c>
      <c r="C98" s="17" t="n">
        <v>274.7</v>
      </c>
      <c r="D98" s="15" t="s">
        <v>267</v>
      </c>
      <c r="E98" s="15" t="s">
        <v>93</v>
      </c>
      <c r="F98" s="15" t="s">
        <v>69</v>
      </c>
      <c r="G98" s="15" t="s">
        <v>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7"/>
    <col collapsed="false" customWidth="true" hidden="false" outlineLevel="0" max="4" min="4" style="0" width="11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28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30"/>
  </cols>
  <sheetData>
    <row r="1" customFormat="false" ht="15" hidden="false" customHeight="false" outlineLevel="0" collapsed="false">
      <c r="A1" s="14" t="s">
        <v>57</v>
      </c>
      <c r="B1" s="14" t="s">
        <v>438</v>
      </c>
      <c r="C1" s="14" t="s">
        <v>400</v>
      </c>
      <c r="D1" s="14" t="s">
        <v>439</v>
      </c>
      <c r="E1" s="14" t="s">
        <v>440</v>
      </c>
      <c r="F1" s="14" t="s">
        <v>441</v>
      </c>
      <c r="G1" s="14" t="s">
        <v>442</v>
      </c>
      <c r="H1" s="14" t="s">
        <v>443</v>
      </c>
      <c r="I1" s="14" t="s">
        <v>444</v>
      </c>
      <c r="J1" s="14" t="s">
        <v>445</v>
      </c>
      <c r="K1" s="14" t="s">
        <v>446</v>
      </c>
      <c r="L1" s="14" t="s">
        <v>447</v>
      </c>
    </row>
    <row r="2" customFormat="false" ht="15" hidden="false" customHeight="false" outlineLevel="0" collapsed="false">
      <c r="A2" s="15" t="str">
        <f aca="false">'Internal Transactions'!A2</f>
        <v>SEPA-2025-1000</v>
      </c>
      <c r="B2" s="18" t="n">
        <f aca="false">'Internal Transactions'!B2</f>
        <v>45951.125</v>
      </c>
      <c r="C2" s="18" t="str">
        <f aca="false">IFERROR(VLOOKUP(A2,'Bank Statement'!A:B,2,FALSE()),"")</f>
        <v/>
      </c>
      <c r="D2" s="15" t="str">
        <f aca="false">IF(C2="","",INT(C2-B2))</f>
        <v/>
      </c>
      <c r="E2" s="17" t="n">
        <f aca="false">'Internal Transactions'!C2</f>
        <v>67.4</v>
      </c>
      <c r="F2" s="17" t="str">
        <f aca="false">IFERROR(VLOOKUP(A2,'Bank Statement'!A:C,3,FALSE()),"")</f>
        <v/>
      </c>
      <c r="G2" s="17" t="str">
        <f aca="false">IF(F2="","",ABS(F2-E2))</f>
        <v/>
      </c>
      <c r="H2" s="15" t="str">
        <f aca="false">'Internal Transactions'!H2</f>
        <v>PostNL Pakket</v>
      </c>
      <c r="I2" s="15" t="str">
        <f aca="false">IFERROR(VLOOKUP(A2,'Bank Statement'!A:G,7,FALSE()),"")</f>
        <v/>
      </c>
      <c r="J2" s="15" t="str">
        <f aca="false">IF(I2="","N/A",IF(Settings!$C$10="FALSE",IF(EXACT(UPPER(H2),UPPER(I2)),"Exact","No"),IF(EXACT(UPPER(H2),UPPER(I2)),"Exact",IF(ISNUMBER(SEARCH(LEFT(H2,FIND(" ",H2&amp;" ")-1),I2)),"Fuzzy",IF(ISNUMBER(SEARCH(SUBSTITUTE(H2," ",""),SUBSTITUTE(I2," ",""))),"Fuzzy","No")))))</f>
        <v>N/A</v>
      </c>
      <c r="K2" s="15" t="str">
        <f aca="false">IF(D2="","N/A",IF(AND(D2&gt;=0,D2&lt;=Settings!$C$6),"Yes","OUT OF WINDOW"))</f>
        <v>N/A</v>
      </c>
      <c r="L2" s="15" t="str">
        <f aca="false">IF(F2="","❌ Missing in Bank",IF(G2&gt;Settings!$C$7,"⚠ Amount Mismatch",IF(K2="OUT OF WINDOW","⏰ Late Settlement",IF(J2="No","⚠ Reference Mismatch","✅ Matched"))))</f>
        <v>❌ Missing in Bank</v>
      </c>
    </row>
    <row r="3" customFormat="false" ht="15" hidden="false" customHeight="false" outlineLevel="0" collapsed="false">
      <c r="A3" s="15" t="str">
        <f aca="false">'Internal Transactions'!A3</f>
        <v>SEPA-2025-1001</v>
      </c>
      <c r="B3" s="18" t="n">
        <f aca="false">'Internal Transactions'!B3</f>
        <v>45952.9583333333</v>
      </c>
      <c r="C3" s="18" t="n">
        <f aca="false">IFERROR(VLOOKUP(A3,'Bank Statement'!A:B,2,FALSE()),"")</f>
        <v>45954.4583333333</v>
      </c>
      <c r="D3" s="15" t="n">
        <f aca="false">IF(C3="","",INT(C3-B3))</f>
        <v>1</v>
      </c>
      <c r="E3" s="17" t="n">
        <f aca="false">'Internal Transactions'!C3</f>
        <v>2230.99</v>
      </c>
      <c r="F3" s="17" t="n">
        <f aca="false">IFERROR(VLOOKUP(A3,'Bank Statement'!A:C,3,FALSE()),"")</f>
        <v>2230.99</v>
      </c>
      <c r="G3" s="17" t="n">
        <f aca="false">IF(F3="","",ABS(F3-E3))</f>
        <v>0</v>
      </c>
      <c r="H3" s="15" t="str">
        <f aca="false">'Internal Transactions'!H3</f>
        <v>Bol.com Order</v>
      </c>
      <c r="I3" s="15" t="str">
        <f aca="false">IFERROR(VLOOKUP(A3,'Bank Statement'!A:G,7,FALSE()),"")</f>
        <v>Bol.com Order - REF5581</v>
      </c>
      <c r="J3" s="15" t="str">
        <f aca="false">IF(I3="","N/A",IF(Settings!$C$10="FALSE",IF(EXACT(UPPER(H3),UPPER(I3)),"Exact","No"),IF(EXACT(UPPER(H3),UPPER(I3)),"Exact",IF(ISNUMBER(SEARCH(LEFT(H3,FIND(" ",H3&amp;" ")-1),I3)),"Fuzzy",IF(ISNUMBER(SEARCH(SUBSTITUTE(H3," ",""),SUBSTITUTE(I3," ",""))),"Fuzzy","No")))))</f>
        <v>Fuzzy</v>
      </c>
      <c r="K3" s="15" t="str">
        <f aca="false">IF(D3="","N/A",IF(AND(D3&gt;=0,D3&lt;=Settings!$C$6),"Yes","OUT OF WINDOW"))</f>
        <v>Yes</v>
      </c>
      <c r="L3" s="15" t="str">
        <f aca="false">IF(F3="","❌ Missing in Bank",IF(G3&gt;Settings!$C$7,"⚠ Amount Mismatch",IF(K3="OUT OF WINDOW","⏰ Late Settlement",IF(J3="No","⚠ Reference Mismatch","✅ Matched"))))</f>
        <v>✅ Matched</v>
      </c>
    </row>
    <row r="4" customFormat="false" ht="15" hidden="false" customHeight="false" outlineLevel="0" collapsed="false">
      <c r="A4" s="15" t="str">
        <f aca="false">'Internal Transactions'!A4</f>
        <v>SEPA-2025-1002</v>
      </c>
      <c r="B4" s="18" t="n">
        <f aca="false">'Internal Transactions'!B4</f>
        <v>45933.25</v>
      </c>
      <c r="C4" s="18" t="n">
        <f aca="false">IFERROR(VLOOKUP(A4,'Bank Statement'!A:B,2,FALSE()),"")</f>
        <v>45933.375</v>
      </c>
      <c r="D4" s="15" t="n">
        <f aca="false">IF(C4="","",INT(C4-B4))</f>
        <v>0</v>
      </c>
      <c r="E4" s="17" t="n">
        <f aca="false">'Internal Transactions'!C4</f>
        <v>585.49</v>
      </c>
      <c r="F4" s="17" t="n">
        <f aca="false">IFERROR(VLOOKUP(A4,'Bank Statement'!A:C,3,FALSE()),"")</f>
        <v>585.49</v>
      </c>
      <c r="G4" s="17" t="n">
        <f aca="false">IF(F4="","",ABS(F4-E4))</f>
        <v>0</v>
      </c>
      <c r="H4" s="15" t="str">
        <f aca="false">'Internal Transactions'!H4</f>
        <v>ING Maandelijks</v>
      </c>
      <c r="I4" s="15" t="str">
        <f aca="false">IFERROR(VLOOKUP(A4,'Bank Statement'!A:G,7,FALSE()),"")</f>
        <v>PMT ING Maandelijks</v>
      </c>
      <c r="J4" s="15" t="str">
        <f aca="false">IF(I4="","N/A",IF(Settings!$C$10="FALSE",IF(EXACT(UPPER(H4),UPPER(I4)),"Exact","No"),IF(EXACT(UPPER(H4),UPPER(I4)),"Exact",IF(ISNUMBER(SEARCH(LEFT(H4,FIND(" ",H4&amp;" ")-1),I4)),"Fuzzy",IF(ISNUMBER(SEARCH(SUBSTITUTE(H4," ",""),SUBSTITUTE(I4," ",""))),"Fuzzy","No")))))</f>
        <v>Fuzzy</v>
      </c>
      <c r="K4" s="15" t="str">
        <f aca="false">IF(D4="","N/A",IF(AND(D4&gt;=0,D4&lt;=Settings!$C$6),"Yes","OUT OF WINDOW"))</f>
        <v>Yes</v>
      </c>
      <c r="L4" s="15" t="str">
        <f aca="false">IF(F4="","❌ Missing in Bank",IF(G4&gt;Settings!$C$7,"⚠ Amount Mismatch",IF(K4="OUT OF WINDOW","⏰ Late Settlement",IF(J4="No","⚠ Reference Mismatch","✅ Matched"))))</f>
        <v>✅ Matched</v>
      </c>
    </row>
    <row r="5" customFormat="false" ht="15" hidden="false" customHeight="false" outlineLevel="0" collapsed="false">
      <c r="A5" s="15" t="str">
        <f aca="false">'Internal Transactions'!A5</f>
        <v>SEPA-2025-1003</v>
      </c>
      <c r="B5" s="18" t="n">
        <f aca="false">'Internal Transactions'!B5</f>
        <v>45944.2916666667</v>
      </c>
      <c r="C5" s="18" t="n">
        <f aca="false">IFERROR(VLOOKUP(A5,'Bank Statement'!A:B,2,FALSE()),"")</f>
        <v>45945.75</v>
      </c>
      <c r="D5" s="15" t="n">
        <f aca="false">IF(C5="","",INT(C5-B5))</f>
        <v>1</v>
      </c>
      <c r="E5" s="17" t="n">
        <f aca="false">'Internal Transactions'!C5</f>
        <v>1125.78</v>
      </c>
      <c r="F5" s="17" t="n">
        <f aca="false">IFERROR(VLOOKUP(A5,'Bank Statement'!A:C,3,FALSE()),"")</f>
        <v>1125.78</v>
      </c>
      <c r="G5" s="17" t="n">
        <f aca="false">IF(F5="","",ABS(F5-E5))</f>
        <v>0</v>
      </c>
      <c r="H5" s="15" t="str">
        <f aca="false">'Internal Transactions'!H5</f>
        <v>Albert Heijn Bezorging</v>
      </c>
      <c r="I5" s="15" t="str">
        <f aca="false">IFERROR(VLOOKUP(A5,'Bank Statement'!A:G,7,FALSE()),"")</f>
        <v>Albert Heijn Bezorging</v>
      </c>
      <c r="J5" s="15" t="str">
        <f aca="false">IF(I5="","N/A",IF(Settings!$C$10="FALSE",IF(EXACT(UPPER(H5),UPPER(I5)),"Exact","No"),IF(EXACT(UPPER(H5),UPPER(I5)),"Exact",IF(ISNUMBER(SEARCH(LEFT(H5,FIND(" ",H5&amp;" ")-1),I5)),"Fuzzy",IF(ISNUMBER(SEARCH(SUBSTITUTE(H5," ",""),SUBSTITUTE(I5," ",""))),"Fuzzy","No")))))</f>
        <v>Exact</v>
      </c>
      <c r="K5" s="15" t="str">
        <f aca="false">IF(D5="","N/A",IF(AND(D5&gt;=0,D5&lt;=Settings!$C$6),"Yes","OUT OF WINDOW"))</f>
        <v>Yes</v>
      </c>
      <c r="L5" s="15" t="str">
        <f aca="false">IF(F5="","❌ Missing in Bank",IF(G5&gt;Settings!$C$7,"⚠ Amount Mismatch",IF(K5="OUT OF WINDOW","⏰ Late Settlement",IF(J5="No","⚠ Reference Mismatch","✅ Matched"))))</f>
        <v>✅ Matched</v>
      </c>
    </row>
    <row r="6" customFormat="false" ht="15" hidden="false" customHeight="false" outlineLevel="0" collapsed="false">
      <c r="A6" s="15" t="str">
        <f aca="false">'Internal Transactions'!A6</f>
        <v>SEPA-2025-1004</v>
      </c>
      <c r="B6" s="18" t="n">
        <f aca="false">'Internal Transactions'!B6</f>
        <v>45941.3333333333</v>
      </c>
      <c r="C6" s="18" t="n">
        <f aca="false">IFERROR(VLOOKUP(A6,'Bank Statement'!A:B,2,FALSE()),"")</f>
        <v>45942.7916666667</v>
      </c>
      <c r="D6" s="15" t="n">
        <f aca="false">IF(C6="","",INT(C6-B6))</f>
        <v>1</v>
      </c>
      <c r="E6" s="17" t="n">
        <f aca="false">'Internal Transactions'!C6</f>
        <v>392.92</v>
      </c>
      <c r="F6" s="17" t="n">
        <f aca="false">IFERROR(VLOOKUP(A6,'Bank Statement'!A:C,3,FALSE()),"")</f>
        <v>392.92</v>
      </c>
      <c r="G6" s="17" t="n">
        <f aca="false">IF(F6="","",ABS(F6-E6))</f>
        <v>0</v>
      </c>
      <c r="H6" s="15" t="str">
        <f aca="false">'Internal Transactions'!H6</f>
        <v>PostNL Pakket</v>
      </c>
      <c r="I6" s="15" t="str">
        <f aca="false">IFERROR(VLOOKUP(A6,'Bank Statement'!A:G,7,FALSE()),"")</f>
        <v>PMT PostNL Pakket</v>
      </c>
      <c r="J6" s="15" t="str">
        <f aca="false">IF(I6="","N/A",IF(Settings!$C$10="FALSE",IF(EXACT(UPPER(H6),UPPER(I6)),"Exact","No"),IF(EXACT(UPPER(H6),UPPER(I6)),"Exact",IF(ISNUMBER(SEARCH(LEFT(H6,FIND(" ",H6&amp;" ")-1),I6)),"Fuzzy",IF(ISNUMBER(SEARCH(SUBSTITUTE(H6," ",""),SUBSTITUTE(I6," ",""))),"Fuzzy","No")))))</f>
        <v>Fuzzy</v>
      </c>
      <c r="K6" s="15" t="str">
        <f aca="false">IF(D6="","N/A",IF(AND(D6&gt;=0,D6&lt;=Settings!$C$6),"Yes","OUT OF WINDOW"))</f>
        <v>Yes</v>
      </c>
      <c r="L6" s="15" t="str">
        <f aca="false">IF(F6="","❌ Missing in Bank",IF(G6&gt;Settings!$C$7,"⚠ Amount Mismatch",IF(K6="OUT OF WINDOW","⏰ Late Settlement",IF(J6="No","⚠ Reference Mismatch","✅ Matched"))))</f>
        <v>✅ Matched</v>
      </c>
    </row>
    <row r="7" customFormat="false" ht="15" hidden="false" customHeight="false" outlineLevel="0" collapsed="false">
      <c r="A7" s="15" t="str">
        <f aca="false">'Internal Transactions'!A7</f>
        <v>SEPA-2025-1005</v>
      </c>
      <c r="B7" s="18" t="n">
        <f aca="false">'Internal Transactions'!B7</f>
        <v>45942.4583333333</v>
      </c>
      <c r="C7" s="18" t="n">
        <f aca="false">IFERROR(VLOOKUP(A7,'Bank Statement'!A:B,2,FALSE()),"")</f>
        <v>45947.7916666667</v>
      </c>
      <c r="D7" s="15" t="n">
        <f aca="false">IF(C7="","",INT(C7-B7))</f>
        <v>5</v>
      </c>
      <c r="E7" s="17" t="n">
        <f aca="false">'Internal Transactions'!C7</f>
        <v>1511.3</v>
      </c>
      <c r="F7" s="17" t="n">
        <f aca="false">IFERROR(VLOOKUP(A7,'Bank Statement'!A:C,3,FALSE()),"")</f>
        <v>1511.3</v>
      </c>
      <c r="G7" s="17" t="n">
        <f aca="false">IF(F7="","",ABS(F7-E7))</f>
        <v>0</v>
      </c>
      <c r="H7" s="15" t="str">
        <f aca="false">'Internal Transactions'!H7</f>
        <v>PostNL Pakket</v>
      </c>
      <c r="I7" s="15" t="str">
        <f aca="false">IFERROR(VLOOKUP(A7,'Bank Statement'!A:G,7,FALSE()),"")</f>
        <v>PostNL Pakket</v>
      </c>
      <c r="J7" s="15" t="str">
        <f aca="false">IF(I7="","N/A",IF(Settings!$C$10="FALSE",IF(EXACT(UPPER(H7),UPPER(I7)),"Exact","No"),IF(EXACT(UPPER(H7),UPPER(I7)),"Exact",IF(ISNUMBER(SEARCH(LEFT(H7,FIND(" ",H7&amp;" ")-1),I7)),"Fuzzy",IF(ISNUMBER(SEARCH(SUBSTITUTE(H7," ",""),SUBSTITUTE(I7," ",""))),"Fuzzy","No")))))</f>
        <v>Exact</v>
      </c>
      <c r="K7" s="15" t="str">
        <f aca="false">IF(D7="","N/A",IF(AND(D7&gt;=0,D7&lt;=Settings!$C$6),"Yes","OUT OF WINDOW"))</f>
        <v>OUT OF WINDOW</v>
      </c>
      <c r="L7" s="15" t="str">
        <f aca="false">IF(F7="","❌ Missing in Bank",IF(G7&gt;Settings!$C$7,"⚠ Amount Mismatch",IF(K7="OUT OF WINDOW","⏰ Late Settlement",IF(J7="No","⚠ Reference Mismatch","✅ Matched"))))</f>
        <v>⏰ Late Settlement</v>
      </c>
    </row>
    <row r="8" customFormat="false" ht="15" hidden="false" customHeight="false" outlineLevel="0" collapsed="false">
      <c r="A8" s="15" t="str">
        <f aca="false">'Internal Transactions'!A8</f>
        <v>SEPA-2025-1006</v>
      </c>
      <c r="B8" s="18" t="n">
        <f aca="false">'Internal Transactions'!B8</f>
        <v>45960.5</v>
      </c>
      <c r="C8" s="18" t="n">
        <f aca="false">IFERROR(VLOOKUP(A8,'Bank Statement'!A:B,2,FALSE()),"")</f>
        <v>45961.5416666667</v>
      </c>
      <c r="D8" s="15" t="n">
        <f aca="false">IF(C8="","",INT(C8-B8))</f>
        <v>1</v>
      </c>
      <c r="E8" s="17" t="n">
        <f aca="false">'Internal Transactions'!C8</f>
        <v>201.61</v>
      </c>
      <c r="F8" s="17" t="n">
        <f aca="false">IFERROR(VLOOKUP(A8,'Bank Statement'!A:C,3,FALSE()),"")</f>
        <v>201.61</v>
      </c>
      <c r="G8" s="17" t="n">
        <f aca="false">IF(F8="","",ABS(F8-E8))</f>
        <v>0</v>
      </c>
      <c r="H8" s="15" t="str">
        <f aca="false">'Internal Transactions'!H8</f>
        <v>Vodafone Mobile</v>
      </c>
      <c r="I8" s="15" t="str">
        <f aca="false">IFERROR(VLOOKUP(A8,'Bank Statement'!A:G,7,FALSE()),"")</f>
        <v>Vodafone Mobile</v>
      </c>
      <c r="J8" s="15" t="str">
        <f aca="false">IF(I8="","N/A",IF(Settings!$C$10="FALSE",IF(EXACT(UPPER(H8),UPPER(I8)),"Exact","No"),IF(EXACT(UPPER(H8),UPPER(I8)),"Exact",IF(ISNUMBER(SEARCH(LEFT(H8,FIND(" ",H8&amp;" ")-1),I8)),"Fuzzy",IF(ISNUMBER(SEARCH(SUBSTITUTE(H8," ",""),SUBSTITUTE(I8," ",""))),"Fuzzy","No")))))</f>
        <v>Exact</v>
      </c>
      <c r="K8" s="15" t="str">
        <f aca="false">IF(D8="","N/A",IF(AND(D8&gt;=0,D8&lt;=Settings!$C$6),"Yes","OUT OF WINDOW"))</f>
        <v>Yes</v>
      </c>
      <c r="L8" s="15" t="str">
        <f aca="false">IF(F8="","❌ Missing in Bank",IF(G8&gt;Settings!$C$7,"⚠ Amount Mismatch",IF(K8="OUT OF WINDOW","⏰ Late Settlement",IF(J8="No","⚠ Reference Mismatch","✅ Matched"))))</f>
        <v>✅ Matched</v>
      </c>
    </row>
    <row r="9" customFormat="false" ht="15" hidden="false" customHeight="false" outlineLevel="0" collapsed="false">
      <c r="A9" s="15" t="str">
        <f aca="false">'Internal Transactions'!A9</f>
        <v>SEPA-2025-1007</v>
      </c>
      <c r="B9" s="18" t="n">
        <f aca="false">'Internal Transactions'!B9</f>
        <v>45937.9166666667</v>
      </c>
      <c r="C9" s="18" t="n">
        <f aca="false">IFERROR(VLOOKUP(A9,'Bank Statement'!A:B,2,FALSE()),"")</f>
        <v>45943.375</v>
      </c>
      <c r="D9" s="15" t="n">
        <f aca="false">IF(C9="","",INT(C9-B9))</f>
        <v>5</v>
      </c>
      <c r="E9" s="17" t="n">
        <f aca="false">'Internal Transactions'!C9</f>
        <v>178.54</v>
      </c>
      <c r="F9" s="17" t="n">
        <f aca="false">IFERROR(VLOOKUP(A9,'Bank Statement'!A:C,3,FALSE()),"")</f>
        <v>178.54</v>
      </c>
      <c r="G9" s="17" t="n">
        <f aca="false">IF(F9="","",ABS(F9-E9))</f>
        <v>0</v>
      </c>
      <c r="H9" s="15" t="str">
        <f aca="false">'Internal Transactions'!H9</f>
        <v>Vattenfall Energy</v>
      </c>
      <c r="I9" s="15" t="str">
        <f aca="false">IFERROR(VLOOKUP(A9,'Bank Statement'!A:G,7,FALSE()),"")</f>
        <v>Vattenfall</v>
      </c>
      <c r="J9" s="15" t="str">
        <f aca="false">IF(I9="","N/A",IF(Settings!$C$10="FALSE",IF(EXACT(UPPER(H9),UPPER(I9)),"Exact","No"),IF(EXACT(UPPER(H9),UPPER(I9)),"Exact",IF(ISNUMBER(SEARCH(LEFT(H9,FIND(" ",H9&amp;" ")-1),I9)),"Fuzzy",IF(ISNUMBER(SEARCH(SUBSTITUTE(H9," ",""),SUBSTITUTE(I9," ",""))),"Fuzzy","No")))))</f>
        <v>Fuzzy</v>
      </c>
      <c r="K9" s="15" t="str">
        <f aca="false">IF(D9="","N/A",IF(AND(D9&gt;=0,D9&lt;=Settings!$C$6),"Yes","OUT OF WINDOW"))</f>
        <v>OUT OF WINDOW</v>
      </c>
      <c r="L9" s="15" t="str">
        <f aca="false">IF(F9="","❌ Missing in Bank",IF(G9&gt;Settings!$C$7,"⚠ Amount Mismatch",IF(K9="OUT OF WINDOW","⏰ Late Settlement",IF(J9="No","⚠ Reference Mismatch","✅ Matched"))))</f>
        <v>⏰ Late Settlement</v>
      </c>
    </row>
    <row r="10" customFormat="false" ht="15" hidden="false" customHeight="false" outlineLevel="0" collapsed="false">
      <c r="A10" s="15" t="str">
        <f aca="false">'Internal Transactions'!A10</f>
        <v>SEPA-2025-1008</v>
      </c>
      <c r="B10" s="18" t="n">
        <f aca="false">'Internal Transactions'!B10</f>
        <v>45958.125</v>
      </c>
      <c r="C10" s="18" t="n">
        <f aca="false">IFERROR(VLOOKUP(A10,'Bank Statement'!A:B,2,FALSE()),"")</f>
        <v>45963.4583333333</v>
      </c>
      <c r="D10" s="15" t="n">
        <f aca="false">IF(C10="","",INT(C10-B10))</f>
        <v>5</v>
      </c>
      <c r="E10" s="17" t="n">
        <f aca="false">'Internal Transactions'!C10</f>
        <v>953.41</v>
      </c>
      <c r="F10" s="17" t="n">
        <f aca="false">IFERROR(VLOOKUP(A10,'Bank Statement'!A:C,3,FALSE()),"")</f>
        <v>953.41</v>
      </c>
      <c r="G10" s="17" t="n">
        <f aca="false">IF(F10="","",ABS(F10-E10))</f>
        <v>0</v>
      </c>
      <c r="H10" s="15" t="str">
        <f aca="false">'Internal Transactions'!H10</f>
        <v>Booking.com Reservation</v>
      </c>
      <c r="I10" s="15" t="str">
        <f aca="false">IFERROR(VLOOKUP(A10,'Bank Statement'!A:G,7,FALSE()),"")</f>
        <v>Booking.com Reservation</v>
      </c>
      <c r="J10" s="15" t="str">
        <f aca="false">IF(I10="","N/A",IF(Settings!$C$10="FALSE",IF(EXACT(UPPER(H10),UPPER(I10)),"Exact","No"),IF(EXACT(UPPER(H10),UPPER(I10)),"Exact",IF(ISNUMBER(SEARCH(LEFT(H10,FIND(" ",H10&amp;" ")-1),I10)),"Fuzzy",IF(ISNUMBER(SEARCH(SUBSTITUTE(H10," ",""),SUBSTITUTE(I10," ",""))),"Fuzzy","No")))))</f>
        <v>Exact</v>
      </c>
      <c r="K10" s="15" t="str">
        <f aca="false">IF(D10="","N/A",IF(AND(D10&gt;=0,D10&lt;=Settings!$C$6),"Yes","OUT OF WINDOW"))</f>
        <v>OUT OF WINDOW</v>
      </c>
      <c r="L10" s="15" t="str">
        <f aca="false">IF(F10="","❌ Missing in Bank",IF(G10&gt;Settings!$C$7,"⚠ Amount Mismatch",IF(K10="OUT OF WINDOW","⏰ Late Settlement",IF(J10="No","⚠ Reference Mismatch","✅ Matched"))))</f>
        <v>⏰ Late Settlement</v>
      </c>
    </row>
    <row r="11" customFormat="false" ht="15" hidden="false" customHeight="false" outlineLevel="0" collapsed="false">
      <c r="A11" s="15" t="str">
        <f aca="false">'Internal Transactions'!A11</f>
        <v>SEPA-2025-1009</v>
      </c>
      <c r="B11" s="18" t="n">
        <f aca="false">'Internal Transactions'!B11</f>
        <v>45942.4583333333</v>
      </c>
      <c r="C11" s="18" t="n">
        <f aca="false">IFERROR(VLOOKUP(A11,'Bank Statement'!A:B,2,FALSE()),"")</f>
        <v>45943.6666666667</v>
      </c>
      <c r="D11" s="15" t="n">
        <f aca="false">IF(C11="","",INT(C11-B11))</f>
        <v>1</v>
      </c>
      <c r="E11" s="17" t="n">
        <f aca="false">'Internal Transactions'!C11</f>
        <v>527.72</v>
      </c>
      <c r="F11" s="17" t="n">
        <f aca="false">IFERROR(VLOOKUP(A11,'Bank Statement'!A:C,3,FALSE()),"")</f>
        <v>527.72</v>
      </c>
      <c r="G11" s="17" t="n">
        <f aca="false">IF(F11="","",ABS(F11-E11))</f>
        <v>0</v>
      </c>
      <c r="H11" s="15" t="str">
        <f aca="false">'Internal Transactions'!H11</f>
        <v>Eneco Energy</v>
      </c>
      <c r="I11" s="15" t="str">
        <f aca="false">IFERROR(VLOOKUP(A11,'Bank Statement'!A:G,7,FALSE()),"")</f>
        <v>Eneco</v>
      </c>
      <c r="J11" s="15" t="str">
        <f aca="false">IF(I11="","N/A",IF(Settings!$C$10="FALSE",IF(EXACT(UPPER(H11),UPPER(I11)),"Exact","No"),IF(EXACT(UPPER(H11),UPPER(I11)),"Exact",IF(ISNUMBER(SEARCH(LEFT(H11,FIND(" ",H11&amp;" ")-1),I11)),"Fuzzy",IF(ISNUMBER(SEARCH(SUBSTITUTE(H11," ",""),SUBSTITUTE(I11," ",""))),"Fuzzy","No")))))</f>
        <v>Fuzzy</v>
      </c>
      <c r="K11" s="15" t="str">
        <f aca="false">IF(D11="","N/A",IF(AND(D11&gt;=0,D11&lt;=Settings!$C$6),"Yes","OUT OF WINDOW"))</f>
        <v>Yes</v>
      </c>
      <c r="L11" s="15" t="str">
        <f aca="false">IF(F11="","❌ Missing in Bank",IF(G11&gt;Settings!$C$7,"⚠ Amount Mismatch",IF(K11="OUT OF WINDOW","⏰ Late Settlement",IF(J11="No","⚠ Reference Mismatch","✅ Matched"))))</f>
        <v>✅ Matched</v>
      </c>
    </row>
    <row r="12" customFormat="false" ht="15" hidden="false" customHeight="false" outlineLevel="0" collapsed="false">
      <c r="A12" s="15" t="str">
        <f aca="false">'Internal Transactions'!A12</f>
        <v>SEPA-2025-1010</v>
      </c>
      <c r="B12" s="18" t="n">
        <f aca="false">'Internal Transactions'!B12</f>
        <v>45951.2083333333</v>
      </c>
      <c r="C12" s="18" t="n">
        <f aca="false">IFERROR(VLOOKUP(A12,'Bank Statement'!A:B,2,FALSE()),"")</f>
        <v>45956.5416666667</v>
      </c>
      <c r="D12" s="15" t="n">
        <f aca="false">IF(C12="","",INT(C12-B12))</f>
        <v>5</v>
      </c>
      <c r="E12" s="17" t="n">
        <f aca="false">'Internal Transactions'!C12</f>
        <v>1337.68</v>
      </c>
      <c r="F12" s="17" t="n">
        <f aca="false">IFERROR(VLOOKUP(A12,'Bank Statement'!A:C,3,FALSE()),"")</f>
        <v>1337.68</v>
      </c>
      <c r="G12" s="17" t="n">
        <f aca="false">IF(F12="","",ABS(F12-E12))</f>
        <v>0</v>
      </c>
      <c r="H12" s="15" t="str">
        <f aca="false">'Internal Transactions'!H12</f>
        <v>Lidl Online</v>
      </c>
      <c r="I12" s="15" t="str">
        <f aca="false">IFERROR(VLOOKUP(A12,'Bank Statement'!A:G,7,FALSE()),"")</f>
        <v>Lidl</v>
      </c>
      <c r="J12" s="15" t="str">
        <f aca="false">IF(I12="","N/A",IF(Settings!$C$10="FALSE",IF(EXACT(UPPER(H12),UPPER(I12)),"Exact","No"),IF(EXACT(UPPER(H12),UPPER(I12)),"Exact",IF(ISNUMBER(SEARCH(LEFT(H12,FIND(" ",H12&amp;" ")-1),I12)),"Fuzzy",IF(ISNUMBER(SEARCH(SUBSTITUTE(H12," ",""),SUBSTITUTE(I12," ",""))),"Fuzzy","No")))))</f>
        <v>Fuzzy</v>
      </c>
      <c r="K12" s="15" t="str">
        <f aca="false">IF(D12="","N/A",IF(AND(D12&gt;=0,D12&lt;=Settings!$C$6),"Yes","OUT OF WINDOW"))</f>
        <v>OUT OF WINDOW</v>
      </c>
      <c r="L12" s="15" t="str">
        <f aca="false">IF(F12="","❌ Missing in Bank",IF(G12&gt;Settings!$C$7,"⚠ Amount Mismatch",IF(K12="OUT OF WINDOW","⏰ Late Settlement",IF(J12="No","⚠ Reference Mismatch","✅ Matched"))))</f>
        <v>⏰ Late Settlement</v>
      </c>
    </row>
    <row r="13" customFormat="false" ht="15" hidden="false" customHeight="false" outlineLevel="0" collapsed="false">
      <c r="A13" s="15" t="str">
        <f aca="false">'Internal Transactions'!A13</f>
        <v>SEPA-2025-1011</v>
      </c>
      <c r="B13" s="18" t="n">
        <f aca="false">'Internal Transactions'!B13</f>
        <v>45960.8333333333</v>
      </c>
      <c r="C13" s="18" t="n">
        <f aca="false">IFERROR(VLOOKUP(A13,'Bank Statement'!A:B,2,FALSE()),"")</f>
        <v>45964.2083333333</v>
      </c>
      <c r="D13" s="15" t="n">
        <f aca="false">IF(C13="","",INT(C13-B13))</f>
        <v>3</v>
      </c>
      <c r="E13" s="17" t="n">
        <f aca="false">'Internal Transactions'!C13</f>
        <v>1721.96</v>
      </c>
      <c r="F13" s="17" t="n">
        <f aca="false">IFERROR(VLOOKUP(A13,'Bank Statement'!A:C,3,FALSE()),"")</f>
        <v>1721.96</v>
      </c>
      <c r="G13" s="17" t="n">
        <f aca="false">IF(F13="","",ABS(F13-E13))</f>
        <v>0</v>
      </c>
      <c r="H13" s="15" t="str">
        <f aca="false">'Internal Transactions'!H13</f>
        <v>Vattenfall Energy</v>
      </c>
      <c r="I13" s="15" t="str">
        <f aca="false">IFERROR(VLOOKUP(A13,'Bank Statement'!A:G,7,FALSE()),"")</f>
        <v>PMT Vattenfall Energy</v>
      </c>
      <c r="J13" s="15" t="str">
        <f aca="false">IF(I13="","N/A",IF(Settings!$C$10="FALSE",IF(EXACT(UPPER(H13),UPPER(I13)),"Exact","No"),IF(EXACT(UPPER(H13),UPPER(I13)),"Exact",IF(ISNUMBER(SEARCH(LEFT(H13,FIND(" ",H13&amp;" ")-1),I13)),"Fuzzy",IF(ISNUMBER(SEARCH(SUBSTITUTE(H13," ",""),SUBSTITUTE(I13," ",""))),"Fuzzy","No")))))</f>
        <v>Fuzzy</v>
      </c>
      <c r="K13" s="15" t="str">
        <f aca="false">IF(D13="","N/A",IF(AND(D13&gt;=0,D13&lt;=Settings!$C$6),"Yes","OUT OF WINDOW"))</f>
        <v>Yes</v>
      </c>
      <c r="L13" s="15" t="str">
        <f aca="false">IF(F13="","❌ Missing in Bank",IF(G13&gt;Settings!$C$7,"⚠ Amount Mismatch",IF(K13="OUT OF WINDOW","⏰ Late Settlement",IF(J13="No","⚠ Reference Mismatch","✅ Matched"))))</f>
        <v>✅ Matched</v>
      </c>
    </row>
    <row r="14" customFormat="false" ht="15" hidden="false" customHeight="false" outlineLevel="0" collapsed="false">
      <c r="A14" s="15" t="str">
        <f aca="false">'Internal Transactions'!A14</f>
        <v>SEPA-2025-1012</v>
      </c>
      <c r="B14" s="18" t="n">
        <f aca="false">'Internal Transactions'!B14</f>
        <v>45957.0416666667</v>
      </c>
      <c r="C14" s="18" t="n">
        <f aca="false">IFERROR(VLOOKUP(A14,'Bank Statement'!A:B,2,FALSE()),"")</f>
        <v>45958.3333333333</v>
      </c>
      <c r="D14" s="15" t="n">
        <f aca="false">IF(C14="","",INT(C14-B14))</f>
        <v>1</v>
      </c>
      <c r="E14" s="17" t="n">
        <f aca="false">'Internal Transactions'!C14</f>
        <v>2013.59</v>
      </c>
      <c r="F14" s="17" t="n">
        <f aca="false">IFERROR(VLOOKUP(A14,'Bank Statement'!A:C,3,FALSE()),"")</f>
        <v>2013.59</v>
      </c>
      <c r="G14" s="17" t="n">
        <f aca="false">IF(F14="","",ABS(F14-E14))</f>
        <v>0</v>
      </c>
      <c r="H14" s="15" t="str">
        <f aca="false">'Internal Transactions'!H14</f>
        <v>Vodafone Mobile</v>
      </c>
      <c r="I14" s="15" t="str">
        <f aca="false">IFERROR(VLOOKUP(A14,'Bank Statement'!A:G,7,FALSE()),"")</f>
        <v>PMT Vodafone Mobile</v>
      </c>
      <c r="J14" s="15" t="str">
        <f aca="false">IF(I14="","N/A",IF(Settings!$C$10="FALSE",IF(EXACT(UPPER(H14),UPPER(I14)),"Exact","No"),IF(EXACT(UPPER(H14),UPPER(I14)),"Exact",IF(ISNUMBER(SEARCH(LEFT(H14,FIND(" ",H14&amp;" ")-1),I14)),"Fuzzy",IF(ISNUMBER(SEARCH(SUBSTITUTE(H14," ",""),SUBSTITUTE(I14," ",""))),"Fuzzy","No")))))</f>
        <v>Fuzzy</v>
      </c>
      <c r="K14" s="15" t="str">
        <f aca="false">IF(D14="","N/A",IF(AND(D14&gt;=0,D14&lt;=Settings!$C$6),"Yes","OUT OF WINDOW"))</f>
        <v>Yes</v>
      </c>
      <c r="L14" s="15" t="str">
        <f aca="false">IF(F14="","❌ Missing in Bank",IF(G14&gt;Settings!$C$7,"⚠ Amount Mismatch",IF(K14="OUT OF WINDOW","⏰ Late Settlement",IF(J14="No","⚠ Reference Mismatch","✅ Matched"))))</f>
        <v>✅ Matched</v>
      </c>
    </row>
    <row r="15" customFormat="false" ht="15" hidden="false" customHeight="false" outlineLevel="0" collapsed="false">
      <c r="A15" s="15" t="str">
        <f aca="false">'Internal Transactions'!A15</f>
        <v>SEPA-2025-1013</v>
      </c>
      <c r="B15" s="18" t="n">
        <f aca="false">'Internal Transactions'!B15</f>
        <v>45959.9166666667</v>
      </c>
      <c r="C15" s="18" t="n">
        <f aca="false">IFERROR(VLOOKUP(A15,'Bank Statement'!A:B,2,FALSE()),"")</f>
        <v>45962</v>
      </c>
      <c r="D15" s="15" t="n">
        <f aca="false">IF(C15="","",INT(C15-B15))</f>
        <v>2</v>
      </c>
      <c r="E15" s="17" t="n">
        <f aca="false">'Internal Transactions'!C15</f>
        <v>790.12</v>
      </c>
      <c r="F15" s="17" t="n">
        <f aca="false">IFERROR(VLOOKUP(A15,'Bank Statement'!A:C,3,FALSE()),"")</f>
        <v>790.12</v>
      </c>
      <c r="G15" s="17" t="n">
        <f aca="false">IF(F15="","",ABS(F15-E15))</f>
        <v>0</v>
      </c>
      <c r="H15" s="15" t="str">
        <f aca="false">'Internal Transactions'!H15</f>
        <v>Spotify Subscription</v>
      </c>
      <c r="I15" s="15" t="str">
        <f aca="false">IFERROR(VLOOKUP(A15,'Bank Statement'!A:G,7,FALSE()),"")</f>
        <v>SPOTIFY SUBSCRIPTION</v>
      </c>
      <c r="J15" s="15" t="str">
        <f aca="false">IF(I15="","N/A",IF(Settings!$C$10="FALSE",IF(EXACT(UPPER(H15),UPPER(I15)),"Exact","No"),IF(EXACT(UPPER(H15),UPPER(I15)),"Exact",IF(ISNUMBER(SEARCH(LEFT(H15,FIND(" ",H15&amp;" ")-1),I15)),"Fuzzy",IF(ISNUMBER(SEARCH(SUBSTITUTE(H15," ",""),SUBSTITUTE(I15," ",""))),"Fuzzy","No")))))</f>
        <v>Exact</v>
      </c>
      <c r="K15" s="15" t="str">
        <f aca="false">IF(D15="","N/A",IF(AND(D15&gt;=0,D15&lt;=Settings!$C$6),"Yes","OUT OF WINDOW"))</f>
        <v>Yes</v>
      </c>
      <c r="L15" s="15" t="str">
        <f aca="false">IF(F15="","❌ Missing in Bank",IF(G15&gt;Settings!$C$7,"⚠ Amount Mismatch",IF(K15="OUT OF WINDOW","⏰ Late Settlement",IF(J15="No","⚠ Reference Mismatch","✅ Matched"))))</f>
        <v>✅ Matched</v>
      </c>
    </row>
    <row r="16" customFormat="false" ht="15" hidden="false" customHeight="false" outlineLevel="0" collapsed="false">
      <c r="A16" s="15" t="str">
        <f aca="false">'Internal Transactions'!A16</f>
        <v>SEPA-2025-1014</v>
      </c>
      <c r="B16" s="18" t="n">
        <f aca="false">'Internal Transactions'!B16</f>
        <v>45939.1666666667</v>
      </c>
      <c r="C16" s="18" t="n">
        <f aca="false">IFERROR(VLOOKUP(A16,'Bank Statement'!A:B,2,FALSE()),"")</f>
        <v>45941.5416666667</v>
      </c>
      <c r="D16" s="15" t="n">
        <f aca="false">IF(C16="","",INT(C16-B16))</f>
        <v>2</v>
      </c>
      <c r="E16" s="17" t="n">
        <f aca="false">'Internal Transactions'!C16</f>
        <v>620.34</v>
      </c>
      <c r="F16" s="17" t="n">
        <f aca="false">IFERROR(VLOOKUP(A16,'Bank Statement'!A:C,3,FALSE()),"")</f>
        <v>620.34</v>
      </c>
      <c r="G16" s="17" t="n">
        <f aca="false">IF(F16="","",ABS(F16-E16))</f>
        <v>0</v>
      </c>
      <c r="H16" s="15" t="str">
        <f aca="false">'Internal Transactions'!H16</f>
        <v>Vodafone Mobile</v>
      </c>
      <c r="I16" s="15" t="str">
        <f aca="false">IFERROR(VLOOKUP(A16,'Bank Statement'!A:G,7,FALSE()),"")</f>
        <v>Vodafone Mobile</v>
      </c>
      <c r="J16" s="15" t="str">
        <f aca="false">IF(I16="","N/A",IF(Settings!$C$10="FALSE",IF(EXACT(UPPER(H16),UPPER(I16)),"Exact","No"),IF(EXACT(UPPER(H16),UPPER(I16)),"Exact",IF(ISNUMBER(SEARCH(LEFT(H16,FIND(" ",H16&amp;" ")-1),I16)),"Fuzzy",IF(ISNUMBER(SEARCH(SUBSTITUTE(H16," ",""),SUBSTITUTE(I16," ",""))),"Fuzzy","No")))))</f>
        <v>Exact</v>
      </c>
      <c r="K16" s="15" t="str">
        <f aca="false">IF(D16="","N/A",IF(AND(D16&gt;=0,D16&lt;=Settings!$C$6),"Yes","OUT OF WINDOW"))</f>
        <v>Yes</v>
      </c>
      <c r="L16" s="15" t="str">
        <f aca="false">IF(F16="","❌ Missing in Bank",IF(G16&gt;Settings!$C$7,"⚠ Amount Mismatch",IF(K16="OUT OF WINDOW","⏰ Late Settlement",IF(J16="No","⚠ Reference Mismatch","✅ Matched"))))</f>
        <v>✅ Matched</v>
      </c>
    </row>
    <row r="17" customFormat="false" ht="15" hidden="false" customHeight="false" outlineLevel="0" collapsed="false">
      <c r="A17" s="15" t="str">
        <f aca="false">'Internal Transactions'!A17</f>
        <v>SEPA-2025-1015</v>
      </c>
      <c r="B17" s="18" t="n">
        <f aca="false">'Internal Transactions'!B17</f>
        <v>45943.4583333333</v>
      </c>
      <c r="C17" s="18" t="n">
        <f aca="false">IFERROR(VLOOKUP(A17,'Bank Statement'!A:B,2,FALSE()),"")</f>
        <v>45944.75</v>
      </c>
      <c r="D17" s="15" t="n">
        <f aca="false">IF(C17="","",INT(C17-B17))</f>
        <v>1</v>
      </c>
      <c r="E17" s="17" t="n">
        <f aca="false">'Internal Transactions'!C17</f>
        <v>552.21</v>
      </c>
      <c r="F17" s="17" t="n">
        <f aca="false">IFERROR(VLOOKUP(A17,'Bank Statement'!A:C,3,FALSE()),"")</f>
        <v>552.21</v>
      </c>
      <c r="G17" s="17" t="n">
        <f aca="false">IF(F17="","",ABS(F17-E17))</f>
        <v>0</v>
      </c>
      <c r="H17" s="15" t="str">
        <f aca="false">'Internal Transactions'!H17</f>
        <v>AH Online</v>
      </c>
      <c r="I17" s="15" t="str">
        <f aca="false">IFERROR(VLOOKUP(A17,'Bank Statement'!A:G,7,FALSE()),"")</f>
        <v>AHOnline</v>
      </c>
      <c r="J17" s="15" t="str">
        <f aca="false">IF(I17="","N/A",IF(Settings!$C$10="FALSE",IF(EXACT(UPPER(H17),UPPER(I17)),"Exact","No"),IF(EXACT(UPPER(H17),UPPER(I17)),"Exact",IF(ISNUMBER(SEARCH(LEFT(H17,FIND(" ",H17&amp;" ")-1),I17)),"Fuzzy",IF(ISNUMBER(SEARCH(SUBSTITUTE(H17," ",""),SUBSTITUTE(I17," ",""))),"Fuzzy","No")))))</f>
        <v>Fuzzy</v>
      </c>
      <c r="K17" s="15" t="str">
        <f aca="false">IF(D17="","N/A",IF(AND(D17&gt;=0,D17&lt;=Settings!$C$6),"Yes","OUT OF WINDOW"))</f>
        <v>Yes</v>
      </c>
      <c r="L17" s="15" t="str">
        <f aca="false">IF(F17="","❌ Missing in Bank",IF(G17&gt;Settings!$C$7,"⚠ Amount Mismatch",IF(K17="OUT OF WINDOW","⏰ Late Settlement",IF(J17="No","⚠ Reference Mismatch","✅ Matched"))))</f>
        <v>✅ Matched</v>
      </c>
    </row>
    <row r="18" customFormat="false" ht="15" hidden="false" customHeight="false" outlineLevel="0" collapsed="false">
      <c r="A18" s="15" t="str">
        <f aca="false">'Internal Transactions'!A18</f>
        <v>SEPA-2025-1016</v>
      </c>
      <c r="B18" s="18" t="n">
        <f aca="false">'Internal Transactions'!B18</f>
        <v>45958.125</v>
      </c>
      <c r="C18" s="18" t="n">
        <f aca="false">IFERROR(VLOOKUP(A18,'Bank Statement'!A:B,2,FALSE()),"")</f>
        <v>45963.1666666667</v>
      </c>
      <c r="D18" s="15" t="n">
        <f aca="false">IF(C18="","",INT(C18-B18))</f>
        <v>5</v>
      </c>
      <c r="E18" s="17" t="n">
        <f aca="false">'Internal Transactions'!C18</f>
        <v>386.34</v>
      </c>
      <c r="F18" s="17" t="n">
        <f aca="false">IFERROR(VLOOKUP(A18,'Bank Statement'!A:C,3,FALSE()),"")</f>
        <v>386.34</v>
      </c>
      <c r="G18" s="17" t="n">
        <f aca="false">IF(F18="","",ABS(F18-E18))</f>
        <v>0</v>
      </c>
      <c r="H18" s="15" t="str">
        <f aca="false">'Internal Transactions'!H18</f>
        <v>Eneco Energy</v>
      </c>
      <c r="I18" s="15" t="str">
        <f aca="false">IFERROR(VLOOKUP(A18,'Bank Statement'!A:G,7,FALSE()),"")</f>
        <v>Eneco Energy</v>
      </c>
      <c r="J18" s="15" t="str">
        <f aca="false">IF(I18="","N/A",IF(Settings!$C$10="FALSE",IF(EXACT(UPPER(H18),UPPER(I18)),"Exact","No"),IF(EXACT(UPPER(H18),UPPER(I18)),"Exact",IF(ISNUMBER(SEARCH(LEFT(H18,FIND(" ",H18&amp;" ")-1),I18)),"Fuzzy",IF(ISNUMBER(SEARCH(SUBSTITUTE(H18," ",""),SUBSTITUTE(I18," ",""))),"Fuzzy","No")))))</f>
        <v>Exact</v>
      </c>
      <c r="K18" s="15" t="str">
        <f aca="false">IF(D18="","N/A",IF(AND(D18&gt;=0,D18&lt;=Settings!$C$6),"Yes","OUT OF WINDOW"))</f>
        <v>OUT OF WINDOW</v>
      </c>
      <c r="L18" s="15" t="str">
        <f aca="false">IF(F18="","❌ Missing in Bank",IF(G18&gt;Settings!$C$7,"⚠ Amount Mismatch",IF(K18="OUT OF WINDOW","⏰ Late Settlement",IF(J18="No","⚠ Reference Mismatch","✅ Matched"))))</f>
        <v>⏰ Late Settlement</v>
      </c>
    </row>
    <row r="19" customFormat="false" ht="15" hidden="false" customHeight="false" outlineLevel="0" collapsed="false">
      <c r="A19" s="15" t="str">
        <f aca="false">'Internal Transactions'!A19</f>
        <v>SEPA-2025-1017</v>
      </c>
      <c r="B19" s="18" t="n">
        <f aca="false">'Internal Transactions'!B19</f>
        <v>45933.5</v>
      </c>
      <c r="C19" s="18" t="n">
        <f aca="false">IFERROR(VLOOKUP(A19,'Bank Statement'!A:B,2,FALSE()),"")</f>
        <v>45935.5833333333</v>
      </c>
      <c r="D19" s="15" t="n">
        <f aca="false">IF(C19="","",INT(C19-B19))</f>
        <v>2</v>
      </c>
      <c r="E19" s="17" t="n">
        <f aca="false">'Internal Transactions'!C19</f>
        <v>957.14</v>
      </c>
      <c r="F19" s="17" t="n">
        <f aca="false">IFERROR(VLOOKUP(A19,'Bank Statement'!A:C,3,FALSE()),"")</f>
        <v>957.14</v>
      </c>
      <c r="G19" s="17" t="n">
        <f aca="false">IF(F19="","",ABS(F19-E19))</f>
        <v>0</v>
      </c>
      <c r="H19" s="15" t="str">
        <f aca="false">'Internal Transactions'!H19</f>
        <v>Bol.com Order</v>
      </c>
      <c r="I19" s="15" t="str">
        <f aca="false">IFERROR(VLOOKUP(A19,'Bank Statement'!A:G,7,FALSE()),"")</f>
        <v>Bol.com Order NL</v>
      </c>
      <c r="J19" s="15" t="str">
        <f aca="false">IF(I19="","N/A",IF(Settings!$C$10="FALSE",IF(EXACT(UPPER(H19),UPPER(I19)),"Exact","No"),IF(EXACT(UPPER(H19),UPPER(I19)),"Exact",IF(ISNUMBER(SEARCH(LEFT(H19,FIND(" ",H19&amp;" ")-1),I19)),"Fuzzy",IF(ISNUMBER(SEARCH(SUBSTITUTE(H19," ",""),SUBSTITUTE(I19," ",""))),"Fuzzy","No")))))</f>
        <v>Fuzzy</v>
      </c>
      <c r="K19" s="15" t="str">
        <f aca="false">IF(D19="","N/A",IF(AND(D19&gt;=0,D19&lt;=Settings!$C$6),"Yes","OUT OF WINDOW"))</f>
        <v>Yes</v>
      </c>
      <c r="L19" s="15" t="str">
        <f aca="false">IF(F19="","❌ Missing in Bank",IF(G19&gt;Settings!$C$7,"⚠ Amount Mismatch",IF(K19="OUT OF WINDOW","⏰ Late Settlement",IF(J19="No","⚠ Reference Mismatch","✅ Matched"))))</f>
        <v>✅ Matched</v>
      </c>
    </row>
    <row r="20" customFormat="false" ht="15" hidden="false" customHeight="false" outlineLevel="0" collapsed="false">
      <c r="A20" s="15" t="str">
        <f aca="false">'Internal Transactions'!A20</f>
        <v>SEPA-2025-1018</v>
      </c>
      <c r="B20" s="18" t="n">
        <f aca="false">'Internal Transactions'!B20</f>
        <v>45952.9583333333</v>
      </c>
      <c r="C20" s="18" t="str">
        <f aca="false">IFERROR(VLOOKUP(A20,'Bank Statement'!A:B,2,FALSE()),"")</f>
        <v/>
      </c>
      <c r="D20" s="15" t="str">
        <f aca="false">IF(C20="","",INT(C20-B20))</f>
        <v/>
      </c>
      <c r="E20" s="17" t="n">
        <f aca="false">'Internal Transactions'!C20</f>
        <v>290.81</v>
      </c>
      <c r="F20" s="17" t="str">
        <f aca="false">IFERROR(VLOOKUP(A20,'Bank Statement'!A:C,3,FALSE()),"")</f>
        <v/>
      </c>
      <c r="G20" s="17" t="str">
        <f aca="false">IF(F20="","",ABS(F20-E20))</f>
        <v/>
      </c>
      <c r="H20" s="15" t="str">
        <f aca="false">'Internal Transactions'!H20</f>
        <v>PostNL Pakket</v>
      </c>
      <c r="I20" s="15" t="str">
        <f aca="false">IFERROR(VLOOKUP(A20,'Bank Statement'!A:G,7,FALSE()),"")</f>
        <v/>
      </c>
      <c r="J20" s="15" t="str">
        <f aca="false">IF(I20="","N/A",IF(Settings!$C$10="FALSE",IF(EXACT(UPPER(H20),UPPER(I20)),"Exact","No"),IF(EXACT(UPPER(H20),UPPER(I20)),"Exact",IF(ISNUMBER(SEARCH(LEFT(H20,FIND(" ",H20&amp;" ")-1),I20)),"Fuzzy",IF(ISNUMBER(SEARCH(SUBSTITUTE(H20," ",""),SUBSTITUTE(I20," ",""))),"Fuzzy","No")))))</f>
        <v>N/A</v>
      </c>
      <c r="K20" s="15" t="str">
        <f aca="false">IF(D20="","N/A",IF(AND(D20&gt;=0,D20&lt;=Settings!$C$6),"Yes","OUT OF WINDOW"))</f>
        <v>N/A</v>
      </c>
      <c r="L20" s="15" t="str">
        <f aca="false">IF(F20="","❌ Missing in Bank",IF(G20&gt;Settings!$C$7,"⚠ Amount Mismatch",IF(K20="OUT OF WINDOW","⏰ Late Settlement",IF(J20="No","⚠ Reference Mismatch","✅ Matched"))))</f>
        <v>❌ Missing in Bank</v>
      </c>
    </row>
    <row r="21" customFormat="false" ht="15" hidden="false" customHeight="false" outlineLevel="0" collapsed="false">
      <c r="A21" s="15" t="str">
        <f aca="false">'Internal Transactions'!A21</f>
        <v>SEPA-2025-1019</v>
      </c>
      <c r="B21" s="18" t="n">
        <f aca="false">'Internal Transactions'!B21</f>
        <v>45940.5416666667</v>
      </c>
      <c r="C21" s="18" t="n">
        <f aca="false">IFERROR(VLOOKUP(A21,'Bank Statement'!A:B,2,FALSE()),"")</f>
        <v>45941.6666666667</v>
      </c>
      <c r="D21" s="15" t="n">
        <f aca="false">IF(C21="","",INT(C21-B21))</f>
        <v>1</v>
      </c>
      <c r="E21" s="17" t="n">
        <f aca="false">'Internal Transactions'!C21</f>
        <v>399.6</v>
      </c>
      <c r="F21" s="17" t="n">
        <f aca="false">IFERROR(VLOOKUP(A21,'Bank Statement'!A:C,3,FALSE()),"")</f>
        <v>399.6</v>
      </c>
      <c r="G21" s="17" t="n">
        <f aca="false">IF(F21="","",ABS(F21-E21))</f>
        <v>0</v>
      </c>
      <c r="H21" s="15" t="str">
        <f aca="false">'Internal Transactions'!H21</f>
        <v>Wehkamp</v>
      </c>
      <c r="I21" s="15" t="str">
        <f aca="false">IFERROR(VLOOKUP(A21,'Bank Statement'!A:G,7,FALSE()),"")</f>
        <v>Wehkamp</v>
      </c>
      <c r="J21" s="15" t="str">
        <f aca="false">IF(I21="","N/A",IF(Settings!$C$10="FALSE",IF(EXACT(UPPER(H21),UPPER(I21)),"Exact","No"),IF(EXACT(UPPER(H21),UPPER(I21)),"Exact",IF(ISNUMBER(SEARCH(LEFT(H21,FIND(" ",H21&amp;" ")-1),I21)),"Fuzzy",IF(ISNUMBER(SEARCH(SUBSTITUTE(H21," ",""),SUBSTITUTE(I21," ",""))),"Fuzzy","No")))))</f>
        <v>Exact</v>
      </c>
      <c r="K21" s="15" t="str">
        <f aca="false">IF(D21="","N/A",IF(AND(D21&gt;=0,D21&lt;=Settings!$C$6),"Yes","OUT OF WINDOW"))</f>
        <v>Yes</v>
      </c>
      <c r="L21" s="15" t="str">
        <f aca="false">IF(F21="","❌ Missing in Bank",IF(G21&gt;Settings!$C$7,"⚠ Amount Mismatch",IF(K21="OUT OF WINDOW","⏰ Late Settlement",IF(J21="No","⚠ Reference Mismatch","✅ Matched"))))</f>
        <v>✅ Matched</v>
      </c>
    </row>
    <row r="22" customFormat="false" ht="15" hidden="false" customHeight="false" outlineLevel="0" collapsed="false">
      <c r="A22" s="15" t="str">
        <f aca="false">'Internal Transactions'!A22</f>
        <v>SEPA-2025-1020</v>
      </c>
      <c r="B22" s="18" t="n">
        <f aca="false">'Internal Transactions'!B22</f>
        <v>45955.2083333333</v>
      </c>
      <c r="C22" s="18" t="n">
        <f aca="false">IFERROR(VLOOKUP(A22,'Bank Statement'!A:B,2,FALSE()),"")</f>
        <v>45956.375</v>
      </c>
      <c r="D22" s="15" t="n">
        <f aca="false">IF(C22="","",INT(C22-B22))</f>
        <v>1</v>
      </c>
      <c r="E22" s="17" t="n">
        <f aca="false">'Internal Transactions'!C22</f>
        <v>1271.67</v>
      </c>
      <c r="F22" s="17" t="n">
        <f aca="false">IFERROR(VLOOKUP(A22,'Bank Statement'!A:C,3,FALSE()),"")</f>
        <v>1271.67</v>
      </c>
      <c r="G22" s="17" t="n">
        <f aca="false">IF(F22="","",ABS(F22-E22))</f>
        <v>0</v>
      </c>
      <c r="H22" s="15" t="str">
        <f aca="false">'Internal Transactions'!H22</f>
        <v>Eneco Energy</v>
      </c>
      <c r="I22" s="15" t="str">
        <f aca="false">IFERROR(VLOOKUP(A22,'Bank Statement'!A:G,7,FALSE()),"")</f>
        <v>Eneco Energy</v>
      </c>
      <c r="J22" s="15" t="str">
        <f aca="false">IF(I22="","N/A",IF(Settings!$C$10="FALSE",IF(EXACT(UPPER(H22),UPPER(I22)),"Exact","No"),IF(EXACT(UPPER(H22),UPPER(I22)),"Exact",IF(ISNUMBER(SEARCH(LEFT(H22,FIND(" ",H22&amp;" ")-1),I22)),"Fuzzy",IF(ISNUMBER(SEARCH(SUBSTITUTE(H22," ",""),SUBSTITUTE(I22," ",""))),"Fuzzy","No")))))</f>
        <v>Exact</v>
      </c>
      <c r="K22" s="15" t="str">
        <f aca="false">IF(D22="","N/A",IF(AND(D22&gt;=0,D22&lt;=Settings!$C$6),"Yes","OUT OF WINDOW"))</f>
        <v>Yes</v>
      </c>
      <c r="L22" s="15" t="str">
        <f aca="false">IF(F22="","❌ Missing in Bank",IF(G22&gt;Settings!$C$7,"⚠ Amount Mismatch",IF(K22="OUT OF WINDOW","⏰ Late Settlement",IF(J22="No","⚠ Reference Mismatch","✅ Matched"))))</f>
        <v>✅ Matched</v>
      </c>
    </row>
    <row r="23" customFormat="false" ht="15" hidden="false" customHeight="false" outlineLevel="0" collapsed="false">
      <c r="A23" s="15" t="str">
        <f aca="false">'Internal Transactions'!A23</f>
        <v>SEPA-2025-1021</v>
      </c>
      <c r="B23" s="18" t="n">
        <f aca="false">'Internal Transactions'!B23</f>
        <v>45937.1666666667</v>
      </c>
      <c r="C23" s="18" t="n">
        <f aca="false">IFERROR(VLOOKUP(A23,'Bank Statement'!A:B,2,FALSE()),"")</f>
        <v>45940.4166666667</v>
      </c>
      <c r="D23" s="15" t="n">
        <f aca="false">IF(C23="","",INT(C23-B23))</f>
        <v>3</v>
      </c>
      <c r="E23" s="17" t="n">
        <f aca="false">'Internal Transactions'!C23</f>
        <v>937.92</v>
      </c>
      <c r="F23" s="17" t="n">
        <f aca="false">IFERROR(VLOOKUP(A23,'Bank Statement'!A:C,3,FALSE()),"")</f>
        <v>937.92</v>
      </c>
      <c r="G23" s="17" t="n">
        <f aca="false">IF(F23="","",ABS(F23-E23))</f>
        <v>0</v>
      </c>
      <c r="H23" s="15" t="str">
        <f aca="false">'Internal Transactions'!H23</f>
        <v>Bol.com Order</v>
      </c>
      <c r="I23" s="15" t="str">
        <f aca="false">IFERROR(VLOOKUP(A23,'Bank Statement'!A:G,7,FALSE()),"")</f>
        <v>Bol.com</v>
      </c>
      <c r="J23" s="15" t="str">
        <f aca="false">IF(I23="","N/A",IF(Settings!$C$10="FALSE",IF(EXACT(UPPER(H23),UPPER(I23)),"Exact","No"),IF(EXACT(UPPER(H23),UPPER(I23)),"Exact",IF(ISNUMBER(SEARCH(LEFT(H23,FIND(" ",H23&amp;" ")-1),I23)),"Fuzzy",IF(ISNUMBER(SEARCH(SUBSTITUTE(H23," ",""),SUBSTITUTE(I23," ",""))),"Fuzzy","No")))))</f>
        <v>Fuzzy</v>
      </c>
      <c r="K23" s="15" t="str">
        <f aca="false">IF(D23="","N/A",IF(AND(D23&gt;=0,D23&lt;=Settings!$C$6),"Yes","OUT OF WINDOW"))</f>
        <v>Yes</v>
      </c>
      <c r="L23" s="15" t="str">
        <f aca="false">IF(F23="","❌ Missing in Bank",IF(G23&gt;Settings!$C$7,"⚠ Amount Mismatch",IF(K23="OUT OF WINDOW","⏰ Late Settlement",IF(J23="No","⚠ Reference Mismatch","✅ Matched"))))</f>
        <v>✅ Matched</v>
      </c>
    </row>
    <row r="24" customFormat="false" ht="15" hidden="false" customHeight="false" outlineLevel="0" collapsed="false">
      <c r="A24" s="15" t="str">
        <f aca="false">'Internal Transactions'!A24</f>
        <v>SEPA-2025-1022</v>
      </c>
      <c r="B24" s="18" t="n">
        <f aca="false">'Internal Transactions'!B24</f>
        <v>45950.4166666667</v>
      </c>
      <c r="C24" s="18" t="n">
        <f aca="false">IFERROR(VLOOKUP(A24,'Bank Statement'!A:B,2,FALSE()),"")</f>
        <v>45951.4166666667</v>
      </c>
      <c r="D24" s="15" t="n">
        <f aca="false">IF(C24="","",INT(C24-B24))</f>
        <v>1</v>
      </c>
      <c r="E24" s="17" t="n">
        <f aca="false">'Internal Transactions'!C24</f>
        <v>1224.07</v>
      </c>
      <c r="F24" s="17" t="n">
        <f aca="false">IFERROR(VLOOKUP(A24,'Bank Statement'!A:C,3,FALSE()),"")</f>
        <v>1224.07</v>
      </c>
      <c r="G24" s="17" t="n">
        <f aca="false">IF(F24="","",ABS(F24-E24))</f>
        <v>0</v>
      </c>
      <c r="H24" s="15" t="str">
        <f aca="false">'Internal Transactions'!H24</f>
        <v>Vattenfall Energy</v>
      </c>
      <c r="I24" s="15" t="str">
        <f aca="false">IFERROR(VLOOKUP(A24,'Bank Statement'!A:G,7,FALSE()),"")</f>
        <v>Vattenfall Energy - REF6039</v>
      </c>
      <c r="J24" s="15" t="str">
        <f aca="false">IF(I24="","N/A",IF(Settings!$C$10="FALSE",IF(EXACT(UPPER(H24),UPPER(I24)),"Exact","No"),IF(EXACT(UPPER(H24),UPPER(I24)),"Exact",IF(ISNUMBER(SEARCH(LEFT(H24,FIND(" ",H24&amp;" ")-1),I24)),"Fuzzy",IF(ISNUMBER(SEARCH(SUBSTITUTE(H24," ",""),SUBSTITUTE(I24," ",""))),"Fuzzy","No")))))</f>
        <v>Fuzzy</v>
      </c>
      <c r="K24" s="15" t="str">
        <f aca="false">IF(D24="","N/A",IF(AND(D24&gt;=0,D24&lt;=Settings!$C$6),"Yes","OUT OF WINDOW"))</f>
        <v>Yes</v>
      </c>
      <c r="L24" s="15" t="str">
        <f aca="false">IF(F24="","❌ Missing in Bank",IF(G24&gt;Settings!$C$7,"⚠ Amount Mismatch",IF(K24="OUT OF WINDOW","⏰ Late Settlement",IF(J24="No","⚠ Reference Mismatch","✅ Matched"))))</f>
        <v>✅ Matched</v>
      </c>
    </row>
    <row r="25" customFormat="false" ht="15" hidden="false" customHeight="false" outlineLevel="0" collapsed="false">
      <c r="A25" s="15" t="str">
        <f aca="false">'Internal Transactions'!A25</f>
        <v>SEPA-2025-1023</v>
      </c>
      <c r="B25" s="18" t="n">
        <f aca="false">'Internal Transactions'!B25</f>
        <v>45932.2916666667</v>
      </c>
      <c r="C25" s="18" t="n">
        <f aca="false">IFERROR(VLOOKUP(A25,'Bank Statement'!A:B,2,FALSE()),"")</f>
        <v>45933.3333333333</v>
      </c>
      <c r="D25" s="15" t="n">
        <f aca="false">IF(C25="","",INT(C25-B25))</f>
        <v>1</v>
      </c>
      <c r="E25" s="17" t="n">
        <f aca="false">'Internal Transactions'!C25</f>
        <v>2195.63</v>
      </c>
      <c r="F25" s="17" t="n">
        <f aca="false">IFERROR(VLOOKUP(A25,'Bank Statement'!A:C,3,FALSE()),"")</f>
        <v>2195.63</v>
      </c>
      <c r="G25" s="17" t="n">
        <f aca="false">IF(F25="","",ABS(F25-E25))</f>
        <v>0</v>
      </c>
      <c r="H25" s="15" t="str">
        <f aca="false">'Internal Transactions'!H25</f>
        <v>Coolblue B.V.</v>
      </c>
      <c r="I25" s="15" t="str">
        <f aca="false">IFERROR(VLOOKUP(A25,'Bank Statement'!A:G,7,FALSE()),"")</f>
        <v>Coolblue B.V.</v>
      </c>
      <c r="J25" s="15" t="str">
        <f aca="false">IF(I25="","N/A",IF(Settings!$C$10="FALSE",IF(EXACT(UPPER(H25),UPPER(I25)),"Exact","No"),IF(EXACT(UPPER(H25),UPPER(I25)),"Exact",IF(ISNUMBER(SEARCH(LEFT(H25,FIND(" ",H25&amp;" ")-1),I25)),"Fuzzy",IF(ISNUMBER(SEARCH(SUBSTITUTE(H25," ",""),SUBSTITUTE(I25," ",""))),"Fuzzy","No")))))</f>
        <v>Exact</v>
      </c>
      <c r="K25" s="15" t="str">
        <f aca="false">IF(D25="","N/A",IF(AND(D25&gt;=0,D25&lt;=Settings!$C$6),"Yes","OUT OF WINDOW"))</f>
        <v>Yes</v>
      </c>
      <c r="L25" s="15" t="str">
        <f aca="false">IF(F25="","❌ Missing in Bank",IF(G25&gt;Settings!$C$7,"⚠ Amount Mismatch",IF(K25="OUT OF WINDOW","⏰ Late Settlement",IF(J25="No","⚠ Reference Mismatch","✅ Matched"))))</f>
        <v>✅ Matched</v>
      </c>
    </row>
    <row r="26" customFormat="false" ht="15" hidden="false" customHeight="false" outlineLevel="0" collapsed="false">
      <c r="A26" s="15" t="str">
        <f aca="false">'Internal Transactions'!A26</f>
        <v>SEPA-2025-1024</v>
      </c>
      <c r="B26" s="18" t="n">
        <f aca="false">'Internal Transactions'!B26</f>
        <v>45955.7083333333</v>
      </c>
      <c r="C26" s="18" t="n">
        <f aca="false">IFERROR(VLOOKUP(A26,'Bank Statement'!A:B,2,FALSE()),"")</f>
        <v>45957.0416666667</v>
      </c>
      <c r="D26" s="15" t="n">
        <f aca="false">IF(C26="","",INT(C26-B26))</f>
        <v>1</v>
      </c>
      <c r="E26" s="17" t="n">
        <f aca="false">'Internal Transactions'!C26</f>
        <v>1915.76</v>
      </c>
      <c r="F26" s="17" t="n">
        <f aca="false">IFERROR(VLOOKUP(A26,'Bank Statement'!A:C,3,FALSE()),"")</f>
        <v>1915.76</v>
      </c>
      <c r="G26" s="17" t="n">
        <f aca="false">IF(F26="","",ABS(F26-E26))</f>
        <v>0</v>
      </c>
      <c r="H26" s="15" t="str">
        <f aca="false">'Internal Transactions'!H26</f>
        <v>Booking.com Reservation</v>
      </c>
      <c r="I26" s="15" t="str">
        <f aca="false">IFERROR(VLOOKUP(A26,'Bank Statement'!A:G,7,FALSE()),"")</f>
        <v>Booking.com Reservation</v>
      </c>
      <c r="J26" s="15" t="str">
        <f aca="false">IF(I26="","N/A",IF(Settings!$C$10="FALSE",IF(EXACT(UPPER(H26),UPPER(I26)),"Exact","No"),IF(EXACT(UPPER(H26),UPPER(I26)),"Exact",IF(ISNUMBER(SEARCH(LEFT(H26,FIND(" ",H26&amp;" ")-1),I26)),"Fuzzy",IF(ISNUMBER(SEARCH(SUBSTITUTE(H26," ",""),SUBSTITUTE(I26," ",""))),"Fuzzy","No")))))</f>
        <v>Exact</v>
      </c>
      <c r="K26" s="15" t="str">
        <f aca="false">IF(D26="","N/A",IF(AND(D26&gt;=0,D26&lt;=Settings!$C$6),"Yes","OUT OF WINDOW"))</f>
        <v>Yes</v>
      </c>
      <c r="L26" s="15" t="str">
        <f aca="false">IF(F26="","❌ Missing in Bank",IF(G26&gt;Settings!$C$7,"⚠ Amount Mismatch",IF(K26="OUT OF WINDOW","⏰ Late Settlement",IF(J26="No","⚠ Reference Mismatch","✅ Matched"))))</f>
        <v>✅ Matched</v>
      </c>
    </row>
    <row r="27" customFormat="false" ht="15" hidden="false" customHeight="false" outlineLevel="0" collapsed="false">
      <c r="A27" s="15" t="str">
        <f aca="false">'Internal Transactions'!A27</f>
        <v>SEPA-2025-1025</v>
      </c>
      <c r="B27" s="18" t="n">
        <f aca="false">'Internal Transactions'!B27</f>
        <v>45939.6666666667</v>
      </c>
      <c r="C27" s="18" t="n">
        <f aca="false">IFERROR(VLOOKUP(A27,'Bank Statement'!A:B,2,FALSE()),"")</f>
        <v>45940.875</v>
      </c>
      <c r="D27" s="15" t="n">
        <f aca="false">IF(C27="","",INT(C27-B27))</f>
        <v>1</v>
      </c>
      <c r="E27" s="17" t="n">
        <f aca="false">'Internal Transactions'!C27</f>
        <v>2181.72</v>
      </c>
      <c r="F27" s="17" t="n">
        <f aca="false">IFERROR(VLOOKUP(A27,'Bank Statement'!A:C,3,FALSE()),"")</f>
        <v>2181.72</v>
      </c>
      <c r="G27" s="17" t="n">
        <f aca="false">IF(F27="","",ABS(F27-E27))</f>
        <v>0</v>
      </c>
      <c r="H27" s="15" t="str">
        <f aca="false">'Internal Transactions'!H27</f>
        <v>Decathlon Webshop</v>
      </c>
      <c r="I27" s="15" t="str">
        <f aca="false">IFERROR(VLOOKUP(A27,'Bank Statement'!A:G,7,FALSE()),"")</f>
        <v>Decathlon Webshop</v>
      </c>
      <c r="J27" s="15" t="str">
        <f aca="false">IF(I27="","N/A",IF(Settings!$C$10="FALSE",IF(EXACT(UPPER(H27),UPPER(I27)),"Exact","No"),IF(EXACT(UPPER(H27),UPPER(I27)),"Exact",IF(ISNUMBER(SEARCH(LEFT(H27,FIND(" ",H27&amp;" ")-1),I27)),"Fuzzy",IF(ISNUMBER(SEARCH(SUBSTITUTE(H27," ",""),SUBSTITUTE(I27," ",""))),"Fuzzy","No")))))</f>
        <v>Exact</v>
      </c>
      <c r="K27" s="15" t="str">
        <f aca="false">IF(D27="","N/A",IF(AND(D27&gt;=0,D27&lt;=Settings!$C$6),"Yes","OUT OF WINDOW"))</f>
        <v>Yes</v>
      </c>
      <c r="L27" s="15" t="str">
        <f aca="false">IF(F27="","❌ Missing in Bank",IF(G27&gt;Settings!$C$7,"⚠ Amount Mismatch",IF(K27="OUT OF WINDOW","⏰ Late Settlement",IF(J27="No","⚠ Reference Mismatch","✅ Matched"))))</f>
        <v>✅ Matched</v>
      </c>
    </row>
    <row r="28" customFormat="false" ht="15" hidden="false" customHeight="false" outlineLevel="0" collapsed="false">
      <c r="A28" s="15" t="str">
        <f aca="false">'Internal Transactions'!A28</f>
        <v>SEPA-2025-1026</v>
      </c>
      <c r="B28" s="18" t="n">
        <f aca="false">'Internal Transactions'!B28</f>
        <v>45943.875</v>
      </c>
      <c r="C28" s="18" t="str">
        <f aca="false">IFERROR(VLOOKUP(A28,'Bank Statement'!A:B,2,FALSE()),"")</f>
        <v/>
      </c>
      <c r="D28" s="15" t="str">
        <f aca="false">IF(C28="","",INT(C28-B28))</f>
        <v/>
      </c>
      <c r="E28" s="17" t="n">
        <f aca="false">'Internal Transactions'!C28</f>
        <v>1626.45</v>
      </c>
      <c r="F28" s="17" t="str">
        <f aca="false">IFERROR(VLOOKUP(A28,'Bank Statement'!A:C,3,FALSE()),"")</f>
        <v/>
      </c>
      <c r="G28" s="17" t="str">
        <f aca="false">IF(F28="","",ABS(F28-E28))</f>
        <v/>
      </c>
      <c r="H28" s="15" t="str">
        <f aca="false">'Internal Transactions'!H28</f>
        <v>Vattenfall Energy</v>
      </c>
      <c r="I28" s="15" t="str">
        <f aca="false">IFERROR(VLOOKUP(A28,'Bank Statement'!A:G,7,FALSE()),"")</f>
        <v/>
      </c>
      <c r="J28" s="15" t="str">
        <f aca="false">IF(I28="","N/A",IF(Settings!$C$10="FALSE",IF(EXACT(UPPER(H28),UPPER(I28)),"Exact","No"),IF(EXACT(UPPER(H28),UPPER(I28)),"Exact",IF(ISNUMBER(SEARCH(LEFT(H28,FIND(" ",H28&amp;" ")-1),I28)),"Fuzzy",IF(ISNUMBER(SEARCH(SUBSTITUTE(H28," ",""),SUBSTITUTE(I28," ",""))),"Fuzzy","No")))))</f>
        <v>N/A</v>
      </c>
      <c r="K28" s="15" t="str">
        <f aca="false">IF(D28="","N/A",IF(AND(D28&gt;=0,D28&lt;=Settings!$C$6),"Yes","OUT OF WINDOW"))</f>
        <v>N/A</v>
      </c>
      <c r="L28" s="15" t="str">
        <f aca="false">IF(F28="","❌ Missing in Bank",IF(G28&gt;Settings!$C$7,"⚠ Amount Mismatch",IF(K28="OUT OF WINDOW","⏰ Late Settlement",IF(J28="No","⚠ Reference Mismatch","✅ Matched"))))</f>
        <v>❌ Missing in Bank</v>
      </c>
    </row>
    <row r="29" customFormat="false" ht="15" hidden="false" customHeight="false" outlineLevel="0" collapsed="false">
      <c r="A29" s="15" t="str">
        <f aca="false">'Internal Transactions'!A29</f>
        <v>SEPA-2025-1027</v>
      </c>
      <c r="B29" s="18" t="n">
        <f aca="false">'Internal Transactions'!B29</f>
        <v>45938.0833333333</v>
      </c>
      <c r="C29" s="18" t="n">
        <f aca="false">IFERROR(VLOOKUP(A29,'Bank Statement'!A:B,2,FALSE()),"")</f>
        <v>45941.4583333333</v>
      </c>
      <c r="D29" s="15" t="n">
        <f aca="false">IF(C29="","",INT(C29-B29))</f>
        <v>3</v>
      </c>
      <c r="E29" s="17" t="n">
        <f aca="false">'Internal Transactions'!C29</f>
        <v>848.52</v>
      </c>
      <c r="F29" s="17" t="n">
        <f aca="false">IFERROR(VLOOKUP(A29,'Bank Statement'!A:C,3,FALSE()),"")</f>
        <v>848.52</v>
      </c>
      <c r="G29" s="17" t="n">
        <f aca="false">IF(F29="","",ABS(F29-E29))</f>
        <v>0</v>
      </c>
      <c r="H29" s="15" t="str">
        <f aca="false">'Internal Transactions'!H29</f>
        <v>Bol.com Order</v>
      </c>
      <c r="I29" s="15" t="str">
        <f aca="false">IFERROR(VLOOKUP(A29,'Bank Statement'!A:G,7,FALSE()),"")</f>
        <v>Bol.com Order</v>
      </c>
      <c r="J29" s="15" t="str">
        <f aca="false">IF(I29="","N/A",IF(Settings!$C$10="FALSE",IF(EXACT(UPPER(H29),UPPER(I29)),"Exact","No"),IF(EXACT(UPPER(H29),UPPER(I29)),"Exact",IF(ISNUMBER(SEARCH(LEFT(H29,FIND(" ",H29&amp;" ")-1),I29)),"Fuzzy",IF(ISNUMBER(SEARCH(SUBSTITUTE(H29," ",""),SUBSTITUTE(I29," ",""))),"Fuzzy","No")))))</f>
        <v>Exact</v>
      </c>
      <c r="K29" s="15" t="str">
        <f aca="false">IF(D29="","N/A",IF(AND(D29&gt;=0,D29&lt;=Settings!$C$6),"Yes","OUT OF WINDOW"))</f>
        <v>Yes</v>
      </c>
      <c r="L29" s="15" t="str">
        <f aca="false">IF(F29="","❌ Missing in Bank",IF(G29&gt;Settings!$C$7,"⚠ Amount Mismatch",IF(K29="OUT OF WINDOW","⏰ Late Settlement",IF(J29="No","⚠ Reference Mismatch","✅ Matched"))))</f>
        <v>✅ Matched</v>
      </c>
    </row>
    <row r="30" customFormat="false" ht="15" hidden="false" customHeight="false" outlineLevel="0" collapsed="false">
      <c r="A30" s="15" t="str">
        <f aca="false">'Internal Transactions'!A30</f>
        <v>SEPA-2025-1028</v>
      </c>
      <c r="B30" s="18" t="n">
        <f aca="false">'Internal Transactions'!B30</f>
        <v>45933.9166666667</v>
      </c>
      <c r="C30" s="18" t="n">
        <f aca="false">IFERROR(VLOOKUP(A30,'Bank Statement'!A:B,2,FALSE()),"")</f>
        <v>45934.9166666667</v>
      </c>
      <c r="D30" s="15" t="n">
        <f aca="false">IF(C30="","",INT(C30-B30))</f>
        <v>1</v>
      </c>
      <c r="E30" s="17" t="n">
        <f aca="false">'Internal Transactions'!C30</f>
        <v>1579.6</v>
      </c>
      <c r="F30" s="17" t="n">
        <f aca="false">IFERROR(VLOOKUP(A30,'Bank Statement'!A:C,3,FALSE()),"")</f>
        <v>1579.6</v>
      </c>
      <c r="G30" s="17" t="n">
        <f aca="false">IF(F30="","",ABS(F30-E30))</f>
        <v>0</v>
      </c>
      <c r="H30" s="15" t="str">
        <f aca="false">'Internal Transactions'!H30</f>
        <v>Coolblue B.V.</v>
      </c>
      <c r="I30" s="15" t="str">
        <f aca="false">IFERROR(VLOOKUP(A30,'Bank Statement'!A:G,7,FALSE()),"")</f>
        <v>Coolblue B.V.</v>
      </c>
      <c r="J30" s="15" t="str">
        <f aca="false">IF(I30="","N/A",IF(Settings!$C$10="FALSE",IF(EXACT(UPPER(H30),UPPER(I30)),"Exact","No"),IF(EXACT(UPPER(H30),UPPER(I30)),"Exact",IF(ISNUMBER(SEARCH(LEFT(H30,FIND(" ",H30&amp;" ")-1),I30)),"Fuzzy",IF(ISNUMBER(SEARCH(SUBSTITUTE(H30," ",""),SUBSTITUTE(I30," ",""))),"Fuzzy","No")))))</f>
        <v>Exact</v>
      </c>
      <c r="K30" s="15" t="str">
        <f aca="false">IF(D30="","N/A",IF(AND(D30&gt;=0,D30&lt;=Settings!$C$6),"Yes","OUT OF WINDOW"))</f>
        <v>Yes</v>
      </c>
      <c r="L30" s="15" t="str">
        <f aca="false">IF(F30="","❌ Missing in Bank",IF(G30&gt;Settings!$C$7,"⚠ Amount Mismatch",IF(K30="OUT OF WINDOW","⏰ Late Settlement",IF(J30="No","⚠ Reference Mismatch","✅ Matched"))))</f>
        <v>✅ Matched</v>
      </c>
    </row>
    <row r="31" customFormat="false" ht="15" hidden="false" customHeight="false" outlineLevel="0" collapsed="false">
      <c r="A31" s="15" t="str">
        <f aca="false">'Internal Transactions'!A31</f>
        <v>SEPA-2025-1029</v>
      </c>
      <c r="B31" s="18" t="n">
        <f aca="false">'Internal Transactions'!B31</f>
        <v>45947.2916666667</v>
      </c>
      <c r="C31" s="18" t="n">
        <f aca="false">IFERROR(VLOOKUP(A31,'Bank Statement'!A:B,2,FALSE()),"")</f>
        <v>45948.4583333333</v>
      </c>
      <c r="D31" s="15" t="n">
        <f aca="false">IF(C31="","",INT(C31-B31))</f>
        <v>1</v>
      </c>
      <c r="E31" s="17" t="n">
        <f aca="false">'Internal Transactions'!C31</f>
        <v>699.8</v>
      </c>
      <c r="F31" s="17" t="n">
        <f aca="false">IFERROR(VLOOKUP(A31,'Bank Statement'!A:C,3,FALSE()),"")</f>
        <v>699.8</v>
      </c>
      <c r="G31" s="17" t="n">
        <f aca="false">IF(F31="","",ABS(F31-E31))</f>
        <v>0</v>
      </c>
      <c r="H31" s="15" t="str">
        <f aca="false">'Internal Transactions'!H31</f>
        <v>Vodafone Mobile</v>
      </c>
      <c r="I31" s="15" t="str">
        <f aca="false">IFERROR(VLOOKUP(A31,'Bank Statement'!A:G,7,FALSE()),"")</f>
        <v>Vodafone</v>
      </c>
      <c r="J31" s="15" t="str">
        <f aca="false">IF(I31="","N/A",IF(Settings!$C$10="FALSE",IF(EXACT(UPPER(H31),UPPER(I31)),"Exact","No"),IF(EXACT(UPPER(H31),UPPER(I31)),"Exact",IF(ISNUMBER(SEARCH(LEFT(H31,FIND(" ",H31&amp;" ")-1),I31)),"Fuzzy",IF(ISNUMBER(SEARCH(SUBSTITUTE(H31," ",""),SUBSTITUTE(I31," ",""))),"Fuzzy","No")))))</f>
        <v>Fuzzy</v>
      </c>
      <c r="K31" s="15" t="str">
        <f aca="false">IF(D31="","N/A",IF(AND(D31&gt;=0,D31&lt;=Settings!$C$6),"Yes","OUT OF WINDOW"))</f>
        <v>Yes</v>
      </c>
      <c r="L31" s="15" t="str">
        <f aca="false">IF(F31="","❌ Missing in Bank",IF(G31&gt;Settings!$C$7,"⚠ Amount Mismatch",IF(K31="OUT OF WINDOW","⏰ Late Settlement",IF(J31="No","⚠ Reference Mismatch","✅ Matched"))))</f>
        <v>✅ Matched</v>
      </c>
    </row>
    <row r="32" customFormat="false" ht="15" hidden="false" customHeight="false" outlineLevel="0" collapsed="false">
      <c r="A32" s="15" t="str">
        <f aca="false">'Internal Transactions'!A32</f>
        <v>SEPA-2025-1030</v>
      </c>
      <c r="B32" s="18" t="n">
        <f aca="false">'Internal Transactions'!B32</f>
        <v>45949.625</v>
      </c>
      <c r="C32" s="18" t="n">
        <f aca="false">IFERROR(VLOOKUP(A32,'Bank Statement'!A:B,2,FALSE()),"")</f>
        <v>45950.875</v>
      </c>
      <c r="D32" s="15" t="n">
        <f aca="false">IF(C32="","",INT(C32-B32))</f>
        <v>1</v>
      </c>
      <c r="E32" s="17" t="n">
        <f aca="false">'Internal Transactions'!C32</f>
        <v>611.28</v>
      </c>
      <c r="F32" s="17" t="n">
        <f aca="false">IFERROR(VLOOKUP(A32,'Bank Statement'!A:C,3,FALSE()),"")</f>
        <v>611.28</v>
      </c>
      <c r="G32" s="17" t="n">
        <f aca="false">IF(F32="","",ABS(F32-E32))</f>
        <v>0</v>
      </c>
      <c r="H32" s="15" t="str">
        <f aca="false">'Internal Transactions'!H32</f>
        <v>PostNL Pakket</v>
      </c>
      <c r="I32" s="15" t="str">
        <f aca="false">IFERROR(VLOOKUP(A32,'Bank Statement'!A:G,7,FALSE()),"")</f>
        <v>PostNL Pakket</v>
      </c>
      <c r="J32" s="15" t="str">
        <f aca="false">IF(I32="","N/A",IF(Settings!$C$10="FALSE",IF(EXACT(UPPER(H32),UPPER(I32)),"Exact","No"),IF(EXACT(UPPER(H32),UPPER(I32)),"Exact",IF(ISNUMBER(SEARCH(LEFT(H32,FIND(" ",H32&amp;" ")-1),I32)),"Fuzzy",IF(ISNUMBER(SEARCH(SUBSTITUTE(H32," ",""),SUBSTITUTE(I32," ",""))),"Fuzzy","No")))))</f>
        <v>Exact</v>
      </c>
      <c r="K32" s="15" t="str">
        <f aca="false">IF(D32="","N/A",IF(AND(D32&gt;=0,D32&lt;=Settings!$C$6),"Yes","OUT OF WINDOW"))</f>
        <v>Yes</v>
      </c>
      <c r="L32" s="15" t="str">
        <f aca="false">IF(F32="","❌ Missing in Bank",IF(G32&gt;Settings!$C$7,"⚠ Amount Mismatch",IF(K32="OUT OF WINDOW","⏰ Late Settlement",IF(J32="No","⚠ Reference Mismatch","✅ Matched"))))</f>
        <v>✅ Matched</v>
      </c>
    </row>
    <row r="33" customFormat="false" ht="15" hidden="false" customHeight="false" outlineLevel="0" collapsed="false">
      <c r="A33" s="15" t="str">
        <f aca="false">'Internal Transactions'!A33</f>
        <v>SEPA-2025-1031</v>
      </c>
      <c r="B33" s="18" t="n">
        <f aca="false">'Internal Transactions'!B33</f>
        <v>45934.875</v>
      </c>
      <c r="C33" s="18" t="n">
        <f aca="false">IFERROR(VLOOKUP(A33,'Bank Statement'!A:B,2,FALSE()),"")</f>
        <v>45936.3333333333</v>
      </c>
      <c r="D33" s="15" t="n">
        <f aca="false">IF(C33="","",INT(C33-B33))</f>
        <v>1</v>
      </c>
      <c r="E33" s="17" t="n">
        <f aca="false">'Internal Transactions'!C33</f>
        <v>1080.47</v>
      </c>
      <c r="F33" s="17" t="n">
        <f aca="false">IFERROR(VLOOKUP(A33,'Bank Statement'!A:C,3,FALSE()),"")</f>
        <v>1080.47</v>
      </c>
      <c r="G33" s="17" t="n">
        <f aca="false">IF(F33="","",ABS(F33-E33))</f>
        <v>0</v>
      </c>
      <c r="H33" s="15" t="str">
        <f aca="false">'Internal Transactions'!H33</f>
        <v>PostNL Pakket</v>
      </c>
      <c r="I33" s="15" t="str">
        <f aca="false">IFERROR(VLOOKUP(A33,'Bank Statement'!A:G,7,FALSE()),"")</f>
        <v>PostNL Pakket</v>
      </c>
      <c r="J33" s="15" t="str">
        <f aca="false">IF(I33="","N/A",IF(Settings!$C$10="FALSE",IF(EXACT(UPPER(H33),UPPER(I33)),"Exact","No"),IF(EXACT(UPPER(H33),UPPER(I33)),"Exact",IF(ISNUMBER(SEARCH(LEFT(H33,FIND(" ",H33&amp;" ")-1),I33)),"Fuzzy",IF(ISNUMBER(SEARCH(SUBSTITUTE(H33," ",""),SUBSTITUTE(I33," ",""))),"Fuzzy","No")))))</f>
        <v>Exact</v>
      </c>
      <c r="K33" s="15" t="str">
        <f aca="false">IF(D33="","N/A",IF(AND(D33&gt;=0,D33&lt;=Settings!$C$6),"Yes","OUT OF WINDOW"))</f>
        <v>Yes</v>
      </c>
      <c r="L33" s="15" t="str">
        <f aca="false">IF(F33="","❌ Missing in Bank",IF(G33&gt;Settings!$C$7,"⚠ Amount Mismatch",IF(K33="OUT OF WINDOW","⏰ Late Settlement",IF(J33="No","⚠ Reference Mismatch","✅ Matched"))))</f>
        <v>✅ Matched</v>
      </c>
    </row>
    <row r="34" customFormat="false" ht="15" hidden="false" customHeight="false" outlineLevel="0" collapsed="false">
      <c r="A34" s="15" t="str">
        <f aca="false">'Internal Transactions'!A34</f>
        <v>SEPA-2025-1032</v>
      </c>
      <c r="B34" s="18" t="n">
        <f aca="false">'Internal Transactions'!B34</f>
        <v>45932.5</v>
      </c>
      <c r="C34" s="18" t="n">
        <f aca="false">IFERROR(VLOOKUP(A34,'Bank Statement'!A:B,2,FALSE()),"")</f>
        <v>45934.5</v>
      </c>
      <c r="D34" s="15" t="n">
        <f aca="false">IF(C34="","",INT(C34-B34))</f>
        <v>2</v>
      </c>
      <c r="E34" s="17" t="n">
        <f aca="false">'Internal Transactions'!C34</f>
        <v>1821.89</v>
      </c>
      <c r="F34" s="17" t="n">
        <f aca="false">IFERROR(VLOOKUP(A34,'Bank Statement'!A:C,3,FALSE()),"")</f>
        <v>1821.89</v>
      </c>
      <c r="G34" s="17" t="n">
        <f aca="false">IF(F34="","",ABS(F34-E34))</f>
        <v>0</v>
      </c>
      <c r="H34" s="15" t="str">
        <f aca="false">'Internal Transactions'!H34</f>
        <v>ING Maandelijks</v>
      </c>
      <c r="I34" s="15" t="str">
        <f aca="false">IFERROR(VLOOKUP(A34,'Bank Statement'!A:G,7,FALSE()),"")</f>
        <v>ING Maandelijks</v>
      </c>
      <c r="J34" s="15" t="str">
        <f aca="false">IF(I34="","N/A",IF(Settings!$C$10="FALSE",IF(EXACT(UPPER(H34),UPPER(I34)),"Exact","No"),IF(EXACT(UPPER(H34),UPPER(I34)),"Exact",IF(ISNUMBER(SEARCH(LEFT(H34,FIND(" ",H34&amp;" ")-1),I34)),"Fuzzy",IF(ISNUMBER(SEARCH(SUBSTITUTE(H34," ",""),SUBSTITUTE(I34," ",""))),"Fuzzy","No")))))</f>
        <v>Exact</v>
      </c>
      <c r="K34" s="15" t="str">
        <f aca="false">IF(D34="","N/A",IF(AND(D34&gt;=0,D34&lt;=Settings!$C$6),"Yes","OUT OF WINDOW"))</f>
        <v>Yes</v>
      </c>
      <c r="L34" s="15" t="str">
        <f aca="false">IF(F34="","❌ Missing in Bank",IF(G34&gt;Settings!$C$7,"⚠ Amount Mismatch",IF(K34="OUT OF WINDOW","⏰ Late Settlement",IF(J34="No","⚠ Reference Mismatch","✅ Matched"))))</f>
        <v>✅ Matched</v>
      </c>
    </row>
    <row r="35" customFormat="false" ht="15" hidden="false" customHeight="false" outlineLevel="0" collapsed="false">
      <c r="A35" s="15" t="str">
        <f aca="false">'Internal Transactions'!A35</f>
        <v>SEPA-2025-1033</v>
      </c>
      <c r="B35" s="18" t="n">
        <f aca="false">'Internal Transactions'!B35</f>
        <v>45945.1666666667</v>
      </c>
      <c r="C35" s="18" t="n">
        <f aca="false">IFERROR(VLOOKUP(A35,'Bank Statement'!A:B,2,FALSE()),"")</f>
        <v>45950.4166666667</v>
      </c>
      <c r="D35" s="15" t="n">
        <f aca="false">IF(C35="","",INT(C35-B35))</f>
        <v>5</v>
      </c>
      <c r="E35" s="17" t="n">
        <f aca="false">'Internal Transactions'!C35</f>
        <v>1057.59</v>
      </c>
      <c r="F35" s="17" t="n">
        <f aca="false">IFERROR(VLOOKUP(A35,'Bank Statement'!A:C,3,FALSE()),"")</f>
        <v>1057.59</v>
      </c>
      <c r="G35" s="17" t="n">
        <f aca="false">IF(F35="","",ABS(F35-E35))</f>
        <v>0</v>
      </c>
      <c r="H35" s="15" t="str">
        <f aca="false">'Internal Transactions'!H35</f>
        <v>Coolblue Returns</v>
      </c>
      <c r="I35" s="15" t="str">
        <f aca="false">IFERROR(VLOOKUP(A35,'Bank Statement'!A:G,7,FALSE()),"")</f>
        <v>Coolblue Returns</v>
      </c>
      <c r="J35" s="15" t="str">
        <f aca="false">IF(I35="","N/A",IF(Settings!$C$10="FALSE",IF(EXACT(UPPER(H35),UPPER(I35)),"Exact","No"),IF(EXACT(UPPER(H35),UPPER(I35)),"Exact",IF(ISNUMBER(SEARCH(LEFT(H35,FIND(" ",H35&amp;" ")-1),I35)),"Fuzzy",IF(ISNUMBER(SEARCH(SUBSTITUTE(H35," ",""),SUBSTITUTE(I35," ",""))),"Fuzzy","No")))))</f>
        <v>Exact</v>
      </c>
      <c r="K35" s="15" t="str">
        <f aca="false">IF(D35="","N/A",IF(AND(D35&gt;=0,D35&lt;=Settings!$C$6),"Yes","OUT OF WINDOW"))</f>
        <v>OUT OF WINDOW</v>
      </c>
      <c r="L35" s="15" t="str">
        <f aca="false">IF(F35="","❌ Missing in Bank",IF(G35&gt;Settings!$C$7,"⚠ Amount Mismatch",IF(K35="OUT OF WINDOW","⏰ Late Settlement",IF(J35="No","⚠ Reference Mismatch","✅ Matched"))))</f>
        <v>⏰ Late Settlement</v>
      </c>
    </row>
    <row r="36" customFormat="false" ht="15" hidden="false" customHeight="false" outlineLevel="0" collapsed="false">
      <c r="A36" s="15" t="str">
        <f aca="false">'Internal Transactions'!A36</f>
        <v>SEPA-2025-1034</v>
      </c>
      <c r="B36" s="18" t="n">
        <f aca="false">'Internal Transactions'!B36</f>
        <v>45956.7083333333</v>
      </c>
      <c r="C36" s="18" t="n">
        <f aca="false">IFERROR(VLOOKUP(A36,'Bank Statement'!A:B,2,FALSE()),"")</f>
        <v>45957.7083333333</v>
      </c>
      <c r="D36" s="15" t="n">
        <f aca="false">IF(C36="","",INT(C36-B36))</f>
        <v>1</v>
      </c>
      <c r="E36" s="17" t="n">
        <f aca="false">'Internal Transactions'!C36</f>
        <v>249.28</v>
      </c>
      <c r="F36" s="17" t="n">
        <f aca="false">IFERROR(VLOOKUP(A36,'Bank Statement'!A:C,3,FALSE()),"")</f>
        <v>254.28</v>
      </c>
      <c r="G36" s="17" t="n">
        <f aca="false">IF(F36="","",ABS(F36-E36))</f>
        <v>5</v>
      </c>
      <c r="H36" s="15" t="str">
        <f aca="false">'Internal Transactions'!H36</f>
        <v>Vattenfall Energy</v>
      </c>
      <c r="I36" s="15" t="str">
        <f aca="false">IFERROR(VLOOKUP(A36,'Bank Statement'!A:G,7,FALSE()),"")</f>
        <v>Vattenfall Energy - REF6927</v>
      </c>
      <c r="J36" s="15" t="str">
        <f aca="false">IF(I36="","N/A",IF(Settings!$C$10="FALSE",IF(EXACT(UPPER(H36),UPPER(I36)),"Exact","No"),IF(EXACT(UPPER(H36),UPPER(I36)),"Exact",IF(ISNUMBER(SEARCH(LEFT(H36,FIND(" ",H36&amp;" ")-1),I36)),"Fuzzy",IF(ISNUMBER(SEARCH(SUBSTITUTE(H36," ",""),SUBSTITUTE(I36," ",""))),"Fuzzy","No")))))</f>
        <v>Fuzzy</v>
      </c>
      <c r="K36" s="15" t="str">
        <f aca="false">IF(D36="","N/A",IF(AND(D36&gt;=0,D36&lt;=Settings!$C$6),"Yes","OUT OF WINDOW"))</f>
        <v>Yes</v>
      </c>
      <c r="L36" s="15" t="str">
        <f aca="false">IF(F36="","❌ Missing in Bank",IF(G36&gt;Settings!$C$7,"⚠ Amount Mismatch",IF(K36="OUT OF WINDOW","⏰ Late Settlement",IF(J36="No","⚠ Reference Mismatch","✅ Matched"))))</f>
        <v>⚠ Amount Mismatch</v>
      </c>
    </row>
    <row r="37" customFormat="false" ht="15" hidden="false" customHeight="false" outlineLevel="0" collapsed="false">
      <c r="A37" s="15" t="str">
        <f aca="false">'Internal Transactions'!A37</f>
        <v>SEPA-2025-1035</v>
      </c>
      <c r="B37" s="18" t="n">
        <f aca="false">'Internal Transactions'!B37</f>
        <v>45936.5416666667</v>
      </c>
      <c r="C37" s="18" t="n">
        <f aca="false">IFERROR(VLOOKUP(A37,'Bank Statement'!A:B,2,FALSE()),"")</f>
        <v>45938.6666666667</v>
      </c>
      <c r="D37" s="15" t="n">
        <f aca="false">IF(C37="","",INT(C37-B37))</f>
        <v>2</v>
      </c>
      <c r="E37" s="17" t="n">
        <f aca="false">'Internal Transactions'!C37</f>
        <v>1216.67</v>
      </c>
      <c r="F37" s="17" t="n">
        <f aca="false">IFERROR(VLOOKUP(A37,'Bank Statement'!A:C,3,FALSE()),"")</f>
        <v>1216.67</v>
      </c>
      <c r="G37" s="17" t="n">
        <f aca="false">IF(F37="","",ABS(F37-E37))</f>
        <v>0</v>
      </c>
      <c r="H37" s="15" t="str">
        <f aca="false">'Internal Transactions'!H37</f>
        <v>HEMA Webshop</v>
      </c>
      <c r="I37" s="15" t="str">
        <f aca="false">IFERROR(VLOOKUP(A37,'Bank Statement'!A:G,7,FALSE()),"")</f>
        <v>HEMAWebshop</v>
      </c>
      <c r="J37" s="15" t="str">
        <f aca="false">IF(I37="","N/A",IF(Settings!$C$10="FALSE",IF(EXACT(UPPER(H37),UPPER(I37)),"Exact","No"),IF(EXACT(UPPER(H37),UPPER(I37)),"Exact",IF(ISNUMBER(SEARCH(LEFT(H37,FIND(" ",H37&amp;" ")-1),I37)),"Fuzzy",IF(ISNUMBER(SEARCH(SUBSTITUTE(H37," ",""),SUBSTITUTE(I37," ",""))),"Fuzzy","No")))))</f>
        <v>Fuzzy</v>
      </c>
      <c r="K37" s="15" t="str">
        <f aca="false">IF(D37="","N/A",IF(AND(D37&gt;=0,D37&lt;=Settings!$C$6),"Yes","OUT OF WINDOW"))</f>
        <v>Yes</v>
      </c>
      <c r="L37" s="15" t="str">
        <f aca="false">IF(F37="","❌ Missing in Bank",IF(G37&gt;Settings!$C$7,"⚠ Amount Mismatch",IF(K37="OUT OF WINDOW","⏰ Late Settlement",IF(J37="No","⚠ Reference Mismatch","✅ Matched"))))</f>
        <v>✅ Matched</v>
      </c>
    </row>
    <row r="38" customFormat="false" ht="15" hidden="false" customHeight="false" outlineLevel="0" collapsed="false">
      <c r="A38" s="15" t="str">
        <f aca="false">'Internal Transactions'!A38</f>
        <v>SEPA-2025-1036</v>
      </c>
      <c r="B38" s="18" t="n">
        <f aca="false">'Internal Transactions'!B38</f>
        <v>45931.5</v>
      </c>
      <c r="C38" s="18" t="n">
        <f aca="false">IFERROR(VLOOKUP(A38,'Bank Statement'!A:B,2,FALSE()),"")</f>
        <v>45932.9166666667</v>
      </c>
      <c r="D38" s="15" t="n">
        <f aca="false">IF(C38="","",INT(C38-B38))</f>
        <v>1</v>
      </c>
      <c r="E38" s="17" t="n">
        <f aca="false">'Internal Transactions'!C38</f>
        <v>666.68</v>
      </c>
      <c r="F38" s="17" t="n">
        <f aca="false">IFERROR(VLOOKUP(A38,'Bank Statement'!A:C,3,FALSE()),"")</f>
        <v>666.68</v>
      </c>
      <c r="G38" s="17" t="n">
        <f aca="false">IF(F38="","",ABS(F38-E38))</f>
        <v>0</v>
      </c>
      <c r="H38" s="15" t="str">
        <f aca="false">'Internal Transactions'!H38</f>
        <v>Zalando NL</v>
      </c>
      <c r="I38" s="15" t="str">
        <f aca="false">IFERROR(VLOOKUP(A38,'Bank Statement'!A:G,7,FALSE()),"")</f>
        <v>Zalando NL</v>
      </c>
      <c r="J38" s="15" t="str">
        <f aca="false">IF(I38="","N/A",IF(Settings!$C$10="FALSE",IF(EXACT(UPPER(H38),UPPER(I38)),"Exact","No"),IF(EXACT(UPPER(H38),UPPER(I38)),"Exact",IF(ISNUMBER(SEARCH(LEFT(H38,FIND(" ",H38&amp;" ")-1),I38)),"Fuzzy",IF(ISNUMBER(SEARCH(SUBSTITUTE(H38," ",""),SUBSTITUTE(I38," ",""))),"Fuzzy","No")))))</f>
        <v>Exact</v>
      </c>
      <c r="K38" s="15" t="str">
        <f aca="false">IF(D38="","N/A",IF(AND(D38&gt;=0,D38&lt;=Settings!$C$6),"Yes","OUT OF WINDOW"))</f>
        <v>Yes</v>
      </c>
      <c r="L38" s="15" t="str">
        <f aca="false">IF(F38="","❌ Missing in Bank",IF(G38&gt;Settings!$C$7,"⚠ Amount Mismatch",IF(K38="OUT OF WINDOW","⏰ Late Settlement",IF(J38="No","⚠ Reference Mismatch","✅ Matched"))))</f>
        <v>✅ Matched</v>
      </c>
    </row>
    <row r="39" customFormat="false" ht="15" hidden="false" customHeight="false" outlineLevel="0" collapsed="false">
      <c r="A39" s="15" t="str">
        <f aca="false">'Internal Transactions'!A39</f>
        <v>SEPA-2025-1037</v>
      </c>
      <c r="B39" s="18" t="n">
        <f aca="false">'Internal Transactions'!B39</f>
        <v>45935.25</v>
      </c>
      <c r="C39" s="18" t="n">
        <f aca="false">IFERROR(VLOOKUP(A39,'Bank Statement'!A:B,2,FALSE()),"")</f>
        <v>45937.5833333333</v>
      </c>
      <c r="D39" s="15" t="n">
        <f aca="false">IF(C39="","",INT(C39-B39))</f>
        <v>2</v>
      </c>
      <c r="E39" s="17" t="n">
        <f aca="false">'Internal Transactions'!C39</f>
        <v>745.29</v>
      </c>
      <c r="F39" s="17" t="n">
        <f aca="false">IFERROR(VLOOKUP(A39,'Bank Statement'!A:C,3,FALSE()),"")</f>
        <v>745.29</v>
      </c>
      <c r="G39" s="17" t="n">
        <f aca="false">IF(F39="","",ABS(F39-E39))</f>
        <v>0</v>
      </c>
      <c r="H39" s="15" t="str">
        <f aca="false">'Internal Transactions'!H39</f>
        <v>AH Online</v>
      </c>
      <c r="I39" s="15" t="str">
        <f aca="false">IFERROR(VLOOKUP(A39,'Bank Statement'!A:G,7,FALSE()),"")</f>
        <v>AH Online</v>
      </c>
      <c r="J39" s="15" t="str">
        <f aca="false">IF(I39="","N/A",IF(Settings!$C$10="FALSE",IF(EXACT(UPPER(H39),UPPER(I39)),"Exact","No"),IF(EXACT(UPPER(H39),UPPER(I39)),"Exact",IF(ISNUMBER(SEARCH(LEFT(H39,FIND(" ",H39&amp;" ")-1),I39)),"Fuzzy",IF(ISNUMBER(SEARCH(SUBSTITUTE(H39," ",""),SUBSTITUTE(I39," ",""))),"Fuzzy","No")))))</f>
        <v>Exact</v>
      </c>
      <c r="K39" s="15" t="str">
        <f aca="false">IF(D39="","N/A",IF(AND(D39&gt;=0,D39&lt;=Settings!$C$6),"Yes","OUT OF WINDOW"))</f>
        <v>Yes</v>
      </c>
      <c r="L39" s="15" t="str">
        <f aca="false">IF(F39="","❌ Missing in Bank",IF(G39&gt;Settings!$C$7,"⚠ Amount Mismatch",IF(K39="OUT OF WINDOW","⏰ Late Settlement",IF(J39="No","⚠ Reference Mismatch","✅ Matched"))))</f>
        <v>✅ Matched</v>
      </c>
    </row>
    <row r="40" customFormat="false" ht="15" hidden="false" customHeight="false" outlineLevel="0" collapsed="false">
      <c r="A40" s="15" t="str">
        <f aca="false">'Internal Transactions'!A40</f>
        <v>SEPA-2025-1038</v>
      </c>
      <c r="B40" s="18" t="n">
        <f aca="false">'Internal Transactions'!B40</f>
        <v>45954.4166666667</v>
      </c>
      <c r="C40" s="18" t="n">
        <f aca="false">IFERROR(VLOOKUP(A40,'Bank Statement'!A:B,2,FALSE()),"")</f>
        <v>45955.4583333333</v>
      </c>
      <c r="D40" s="15" t="n">
        <f aca="false">IF(C40="","",INT(C40-B40))</f>
        <v>1</v>
      </c>
      <c r="E40" s="17" t="n">
        <f aca="false">'Internal Transactions'!C40</f>
        <v>147.63</v>
      </c>
      <c r="F40" s="17" t="n">
        <f aca="false">IFERROR(VLOOKUP(A40,'Bank Statement'!A:C,3,FALSE()),"")</f>
        <v>147.63</v>
      </c>
      <c r="G40" s="17" t="n">
        <f aca="false">IF(F40="","",ABS(F40-E40))</f>
        <v>0</v>
      </c>
      <c r="H40" s="15" t="str">
        <f aca="false">'Internal Transactions'!H40</f>
        <v>Booking.com Reservation</v>
      </c>
      <c r="I40" s="15" t="str">
        <f aca="false">IFERROR(VLOOKUP(A40,'Bank Statement'!A:G,7,FALSE()),"")</f>
        <v>Booking.com Reservation</v>
      </c>
      <c r="J40" s="15" t="str">
        <f aca="false">IF(I40="","N/A",IF(Settings!$C$10="FALSE",IF(EXACT(UPPER(H40),UPPER(I40)),"Exact","No"),IF(EXACT(UPPER(H40),UPPER(I40)),"Exact",IF(ISNUMBER(SEARCH(LEFT(H40,FIND(" ",H40&amp;" ")-1),I40)),"Fuzzy",IF(ISNUMBER(SEARCH(SUBSTITUTE(H40," ",""),SUBSTITUTE(I40," ",""))),"Fuzzy","No")))))</f>
        <v>Exact</v>
      </c>
      <c r="K40" s="15" t="str">
        <f aca="false">IF(D40="","N/A",IF(AND(D40&gt;=0,D40&lt;=Settings!$C$6),"Yes","OUT OF WINDOW"))</f>
        <v>Yes</v>
      </c>
      <c r="L40" s="15" t="str">
        <f aca="false">IF(F40="","❌ Missing in Bank",IF(G40&gt;Settings!$C$7,"⚠ Amount Mismatch",IF(K40="OUT OF WINDOW","⏰ Late Settlement",IF(J40="No","⚠ Reference Mismatch","✅ Matched"))))</f>
        <v>✅ Matched</v>
      </c>
    </row>
    <row r="41" customFormat="false" ht="15" hidden="false" customHeight="false" outlineLevel="0" collapsed="false">
      <c r="A41" s="15" t="str">
        <f aca="false">'Internal Transactions'!A41</f>
        <v>SEPA-2025-1039</v>
      </c>
      <c r="B41" s="18" t="n">
        <f aca="false">'Internal Transactions'!B41</f>
        <v>45932.6666666667</v>
      </c>
      <c r="C41" s="18" t="n">
        <f aca="false">IFERROR(VLOOKUP(A41,'Bank Statement'!A:B,2,FALSE()),"")</f>
        <v>45934.125</v>
      </c>
      <c r="D41" s="15" t="n">
        <f aca="false">IF(C41="","",INT(C41-B41))</f>
        <v>1</v>
      </c>
      <c r="E41" s="17" t="n">
        <f aca="false">'Internal Transactions'!C41</f>
        <v>204.88</v>
      </c>
      <c r="F41" s="17" t="n">
        <f aca="false">IFERROR(VLOOKUP(A41,'Bank Statement'!A:C,3,FALSE()),"")</f>
        <v>204.88</v>
      </c>
      <c r="G41" s="17" t="n">
        <f aca="false">IF(F41="","",ABS(F41-E41))</f>
        <v>0</v>
      </c>
      <c r="H41" s="15" t="str">
        <f aca="false">'Internal Transactions'!H41</f>
        <v>Vattenfall Energy</v>
      </c>
      <c r="I41" s="15" t="str">
        <f aca="false">IFERROR(VLOOKUP(A41,'Bank Statement'!A:G,7,FALSE()),"")</f>
        <v>PMT Vattenfall Energy</v>
      </c>
      <c r="J41" s="15" t="str">
        <f aca="false">IF(I41="","N/A",IF(Settings!$C$10="FALSE",IF(EXACT(UPPER(H41),UPPER(I41)),"Exact","No"),IF(EXACT(UPPER(H41),UPPER(I41)),"Exact",IF(ISNUMBER(SEARCH(LEFT(H41,FIND(" ",H41&amp;" ")-1),I41)),"Fuzzy",IF(ISNUMBER(SEARCH(SUBSTITUTE(H41," ",""),SUBSTITUTE(I41," ",""))),"Fuzzy","No")))))</f>
        <v>Fuzzy</v>
      </c>
      <c r="K41" s="15" t="str">
        <f aca="false">IF(D41="","N/A",IF(AND(D41&gt;=0,D41&lt;=Settings!$C$6),"Yes","OUT OF WINDOW"))</f>
        <v>Yes</v>
      </c>
      <c r="L41" s="15" t="str">
        <f aca="false">IF(F41="","❌ Missing in Bank",IF(G41&gt;Settings!$C$7,"⚠ Amount Mismatch",IF(K41="OUT OF WINDOW","⏰ Late Settlement",IF(J41="No","⚠ Reference Mismatch","✅ Matched"))))</f>
        <v>✅ Matched</v>
      </c>
    </row>
    <row r="42" customFormat="false" ht="15" hidden="false" customHeight="false" outlineLevel="0" collapsed="false">
      <c r="A42" s="15" t="str">
        <f aca="false">'Internal Transactions'!A42</f>
        <v>SEPA-2025-1040</v>
      </c>
      <c r="B42" s="18" t="n">
        <f aca="false">'Internal Transactions'!B42</f>
        <v>45943.125</v>
      </c>
      <c r="C42" s="18" t="n">
        <f aca="false">IFERROR(VLOOKUP(A42,'Bank Statement'!A:B,2,FALSE()),"")</f>
        <v>45944.5</v>
      </c>
      <c r="D42" s="15" t="n">
        <f aca="false">IF(C42="","",INT(C42-B42))</f>
        <v>1</v>
      </c>
      <c r="E42" s="17" t="n">
        <f aca="false">'Internal Transactions'!C42</f>
        <v>2354.28</v>
      </c>
      <c r="F42" s="17" t="n">
        <f aca="false">IFERROR(VLOOKUP(A42,'Bank Statement'!A:C,3,FALSE()),"")</f>
        <v>2354.28</v>
      </c>
      <c r="G42" s="17" t="n">
        <f aca="false">IF(F42="","",ABS(F42-E42))</f>
        <v>0</v>
      </c>
      <c r="H42" s="15" t="str">
        <f aca="false">'Internal Transactions'!H42</f>
        <v>Eneco Energy</v>
      </c>
      <c r="I42" s="15" t="str">
        <f aca="false">IFERROR(VLOOKUP(A42,'Bank Statement'!A:G,7,FALSE()),"")</f>
        <v>Eneco Energy</v>
      </c>
      <c r="J42" s="15" t="str">
        <f aca="false">IF(I42="","N/A",IF(Settings!$C$10="FALSE",IF(EXACT(UPPER(H42),UPPER(I42)),"Exact","No"),IF(EXACT(UPPER(H42),UPPER(I42)),"Exact",IF(ISNUMBER(SEARCH(LEFT(H42,FIND(" ",H42&amp;" ")-1),I42)),"Fuzzy",IF(ISNUMBER(SEARCH(SUBSTITUTE(H42," ",""),SUBSTITUTE(I42," ",""))),"Fuzzy","No")))))</f>
        <v>Exact</v>
      </c>
      <c r="K42" s="15" t="str">
        <f aca="false">IF(D42="","N/A",IF(AND(D42&gt;=0,D42&lt;=Settings!$C$6),"Yes","OUT OF WINDOW"))</f>
        <v>Yes</v>
      </c>
      <c r="L42" s="15" t="str">
        <f aca="false">IF(F42="","❌ Missing in Bank",IF(G42&gt;Settings!$C$7,"⚠ Amount Mismatch",IF(K42="OUT OF WINDOW","⏰ Late Settlement",IF(J42="No","⚠ Reference Mismatch","✅ Matched"))))</f>
        <v>✅ Matched</v>
      </c>
    </row>
    <row r="43" customFormat="false" ht="15" hidden="false" customHeight="false" outlineLevel="0" collapsed="false">
      <c r="A43" s="15" t="str">
        <f aca="false">'Internal Transactions'!A43</f>
        <v>SEPA-2025-1041</v>
      </c>
      <c r="B43" s="18" t="n">
        <f aca="false">'Internal Transactions'!B43</f>
        <v>45933.5416666667</v>
      </c>
      <c r="C43" s="18" t="n">
        <f aca="false">IFERROR(VLOOKUP(A43,'Bank Statement'!A:B,2,FALSE()),"")</f>
        <v>45935.0416666667</v>
      </c>
      <c r="D43" s="15" t="n">
        <f aca="false">IF(C43="","",INT(C43-B43))</f>
        <v>1</v>
      </c>
      <c r="E43" s="17" t="n">
        <f aca="false">'Internal Transactions'!C43</f>
        <v>1645.15</v>
      </c>
      <c r="F43" s="17" t="n">
        <f aca="false">IFERROR(VLOOKUP(A43,'Bank Statement'!A:C,3,FALSE()),"")</f>
        <v>1645.15</v>
      </c>
      <c r="G43" s="17" t="n">
        <f aca="false">IF(F43="","",ABS(F43-E43))</f>
        <v>0</v>
      </c>
      <c r="H43" s="15" t="str">
        <f aca="false">'Internal Transactions'!H43</f>
        <v>KPN Telecom</v>
      </c>
      <c r="I43" s="15" t="str">
        <f aca="false">IFERROR(VLOOKUP(A43,'Bank Statement'!A:G,7,FALSE()),"")</f>
        <v>KPN Telecom</v>
      </c>
      <c r="J43" s="15" t="str">
        <f aca="false">IF(I43="","N/A",IF(Settings!$C$10="FALSE",IF(EXACT(UPPER(H43),UPPER(I43)),"Exact","No"),IF(EXACT(UPPER(H43),UPPER(I43)),"Exact",IF(ISNUMBER(SEARCH(LEFT(H43,FIND(" ",H43&amp;" ")-1),I43)),"Fuzzy",IF(ISNUMBER(SEARCH(SUBSTITUTE(H43," ",""),SUBSTITUTE(I43," ",""))),"Fuzzy","No")))))</f>
        <v>Exact</v>
      </c>
      <c r="K43" s="15" t="str">
        <f aca="false">IF(D43="","N/A",IF(AND(D43&gt;=0,D43&lt;=Settings!$C$6),"Yes","OUT OF WINDOW"))</f>
        <v>Yes</v>
      </c>
      <c r="L43" s="15" t="str">
        <f aca="false">IF(F43="","❌ Missing in Bank",IF(G43&gt;Settings!$C$7,"⚠ Amount Mismatch",IF(K43="OUT OF WINDOW","⏰ Late Settlement",IF(J43="No","⚠ Reference Mismatch","✅ Matched"))))</f>
        <v>✅ Matched</v>
      </c>
    </row>
    <row r="44" customFormat="false" ht="15" hidden="false" customHeight="false" outlineLevel="0" collapsed="false">
      <c r="A44" s="15" t="str">
        <f aca="false">'Internal Transactions'!A44</f>
        <v>SEPA-2025-1042</v>
      </c>
      <c r="B44" s="18" t="n">
        <f aca="false">'Internal Transactions'!B44</f>
        <v>45952.9166666667</v>
      </c>
      <c r="C44" s="18" t="n">
        <f aca="false">IFERROR(VLOOKUP(A44,'Bank Statement'!A:B,2,FALSE()),"")</f>
        <v>45953.9166666667</v>
      </c>
      <c r="D44" s="15" t="n">
        <f aca="false">IF(C44="","",INT(C44-B44))</f>
        <v>1</v>
      </c>
      <c r="E44" s="17" t="n">
        <f aca="false">'Internal Transactions'!C44</f>
        <v>788.89</v>
      </c>
      <c r="F44" s="17" t="n">
        <f aca="false">IFERROR(VLOOKUP(A44,'Bank Statement'!A:C,3,FALSE()),"")</f>
        <v>788.89</v>
      </c>
      <c r="G44" s="17" t="n">
        <f aca="false">IF(F44="","",ABS(F44-E44))</f>
        <v>0</v>
      </c>
      <c r="H44" s="15" t="str">
        <f aca="false">'Internal Transactions'!H44</f>
        <v>Coolblue Returns</v>
      </c>
      <c r="I44" s="15" t="str">
        <f aca="false">IFERROR(VLOOKUP(A44,'Bank Statement'!A:G,7,FALSE()),"")</f>
        <v>Coolblue Returns - REF5891</v>
      </c>
      <c r="J44" s="15" t="str">
        <f aca="false">IF(I44="","N/A",IF(Settings!$C$10="FALSE",IF(EXACT(UPPER(H44),UPPER(I44)),"Exact","No"),IF(EXACT(UPPER(H44),UPPER(I44)),"Exact",IF(ISNUMBER(SEARCH(LEFT(H44,FIND(" ",H44&amp;" ")-1),I44)),"Fuzzy",IF(ISNUMBER(SEARCH(SUBSTITUTE(H44," ",""),SUBSTITUTE(I44," ",""))),"Fuzzy","No")))))</f>
        <v>Fuzzy</v>
      </c>
      <c r="K44" s="15" t="str">
        <f aca="false">IF(D44="","N/A",IF(AND(D44&gt;=0,D44&lt;=Settings!$C$6),"Yes","OUT OF WINDOW"))</f>
        <v>Yes</v>
      </c>
      <c r="L44" s="15" t="str">
        <f aca="false">IF(F44="","❌ Missing in Bank",IF(G44&gt;Settings!$C$7,"⚠ Amount Mismatch",IF(K44="OUT OF WINDOW","⏰ Late Settlement",IF(J44="No","⚠ Reference Mismatch","✅ Matched"))))</f>
        <v>✅ Matched</v>
      </c>
    </row>
    <row r="45" customFormat="false" ht="15" hidden="false" customHeight="false" outlineLevel="0" collapsed="false">
      <c r="A45" s="15" t="str">
        <f aca="false">'Internal Transactions'!A45</f>
        <v>SEPA-2025-1043</v>
      </c>
      <c r="B45" s="18" t="n">
        <f aca="false">'Internal Transactions'!B45</f>
        <v>45941.0833333333</v>
      </c>
      <c r="C45" s="18" t="n">
        <f aca="false">IFERROR(VLOOKUP(A45,'Bank Statement'!A:B,2,FALSE()),"")</f>
        <v>45944.375</v>
      </c>
      <c r="D45" s="15" t="n">
        <f aca="false">IF(C45="","",INT(C45-B45))</f>
        <v>3</v>
      </c>
      <c r="E45" s="17" t="n">
        <f aca="false">'Internal Transactions'!C45</f>
        <v>28.24</v>
      </c>
      <c r="F45" s="17" t="n">
        <f aca="false">IFERROR(VLOOKUP(A45,'Bank Statement'!A:C,3,FALSE()),"")</f>
        <v>28.24</v>
      </c>
      <c r="G45" s="17" t="n">
        <f aca="false">IF(F45="","",ABS(F45-E45))</f>
        <v>0</v>
      </c>
      <c r="H45" s="15" t="str">
        <f aca="false">'Internal Transactions'!H45</f>
        <v>ING Maandelijks</v>
      </c>
      <c r="I45" s="15" t="str">
        <f aca="false">IFERROR(VLOOKUP(A45,'Bank Statement'!A:G,7,FALSE()),"")</f>
        <v>ING Maandelijks</v>
      </c>
      <c r="J45" s="15" t="str">
        <f aca="false">IF(I45="","N/A",IF(Settings!$C$10="FALSE",IF(EXACT(UPPER(H45),UPPER(I45)),"Exact","No"),IF(EXACT(UPPER(H45),UPPER(I45)),"Exact",IF(ISNUMBER(SEARCH(LEFT(H45,FIND(" ",H45&amp;" ")-1),I45)),"Fuzzy",IF(ISNUMBER(SEARCH(SUBSTITUTE(H45," ",""),SUBSTITUTE(I45," ",""))),"Fuzzy","No")))))</f>
        <v>Exact</v>
      </c>
      <c r="K45" s="15" t="str">
        <f aca="false">IF(D45="","N/A",IF(AND(D45&gt;=0,D45&lt;=Settings!$C$6),"Yes","OUT OF WINDOW"))</f>
        <v>Yes</v>
      </c>
      <c r="L45" s="15" t="str">
        <f aca="false">IF(F45="","❌ Missing in Bank",IF(G45&gt;Settings!$C$7,"⚠ Amount Mismatch",IF(K45="OUT OF WINDOW","⏰ Late Settlement",IF(J45="No","⚠ Reference Mismatch","✅ Matched"))))</f>
        <v>✅ Matched</v>
      </c>
    </row>
    <row r="46" customFormat="false" ht="15" hidden="false" customHeight="false" outlineLevel="0" collapsed="false">
      <c r="A46" s="15" t="str">
        <f aca="false">'Internal Transactions'!A46</f>
        <v>SEPA-2025-1044</v>
      </c>
      <c r="B46" s="18" t="n">
        <f aca="false">'Internal Transactions'!B46</f>
        <v>45937.6666666667</v>
      </c>
      <c r="C46" s="18" t="n">
        <f aca="false">IFERROR(VLOOKUP(A46,'Bank Statement'!A:B,2,FALSE()),"")</f>
        <v>45939.9583333333</v>
      </c>
      <c r="D46" s="15" t="n">
        <f aca="false">IF(C46="","",INT(C46-B46))</f>
        <v>2</v>
      </c>
      <c r="E46" s="17" t="n">
        <f aca="false">'Internal Transactions'!C46</f>
        <v>666.68</v>
      </c>
      <c r="F46" s="17" t="n">
        <f aca="false">IFERROR(VLOOKUP(A46,'Bank Statement'!A:C,3,FALSE()),"")</f>
        <v>666.68</v>
      </c>
      <c r="G46" s="17" t="n">
        <f aca="false">IF(F46="","",ABS(F46-E46))</f>
        <v>0</v>
      </c>
      <c r="H46" s="15" t="str">
        <f aca="false">'Internal Transactions'!H46</f>
        <v>Decathlon Webshop</v>
      </c>
      <c r="I46" s="15" t="str">
        <f aca="false">IFERROR(VLOOKUP(A46,'Bank Statement'!A:G,7,FALSE()),"")</f>
        <v>Decathlon Webshop</v>
      </c>
      <c r="J46" s="15" t="str">
        <f aca="false">IF(I46="","N/A",IF(Settings!$C$10="FALSE",IF(EXACT(UPPER(H46),UPPER(I46)),"Exact","No"),IF(EXACT(UPPER(H46),UPPER(I46)),"Exact",IF(ISNUMBER(SEARCH(LEFT(H46,FIND(" ",H46&amp;" ")-1),I46)),"Fuzzy",IF(ISNUMBER(SEARCH(SUBSTITUTE(H46," ",""),SUBSTITUTE(I46," ",""))),"Fuzzy","No")))))</f>
        <v>Exact</v>
      </c>
      <c r="K46" s="15" t="str">
        <f aca="false">IF(D46="","N/A",IF(AND(D46&gt;=0,D46&lt;=Settings!$C$6),"Yes","OUT OF WINDOW"))</f>
        <v>Yes</v>
      </c>
      <c r="L46" s="15" t="str">
        <f aca="false">IF(F46="","❌ Missing in Bank",IF(G46&gt;Settings!$C$7,"⚠ Amount Mismatch",IF(K46="OUT OF WINDOW","⏰ Late Settlement",IF(J46="No","⚠ Reference Mismatch","✅ Matched"))))</f>
        <v>✅ Matched</v>
      </c>
    </row>
    <row r="47" customFormat="false" ht="15" hidden="false" customHeight="false" outlineLevel="0" collapsed="false">
      <c r="A47" s="15" t="str">
        <f aca="false">'Internal Transactions'!A47</f>
        <v>SEPA-2025-1045</v>
      </c>
      <c r="B47" s="18" t="n">
        <f aca="false">'Internal Transactions'!B47</f>
        <v>45936.5833333333</v>
      </c>
      <c r="C47" s="18" t="n">
        <f aca="false">IFERROR(VLOOKUP(A47,'Bank Statement'!A:B,2,FALSE()),"")</f>
        <v>45937.8333333333</v>
      </c>
      <c r="D47" s="15" t="n">
        <f aca="false">IF(C47="","",INT(C47-B47))</f>
        <v>1</v>
      </c>
      <c r="E47" s="17" t="n">
        <f aca="false">'Internal Transactions'!C47</f>
        <v>2085.19</v>
      </c>
      <c r="F47" s="17" t="n">
        <f aca="false">IFERROR(VLOOKUP(A47,'Bank Statement'!A:C,3,FALSE()),"")</f>
        <v>2085.19</v>
      </c>
      <c r="G47" s="17" t="n">
        <f aca="false">IF(F47="","",ABS(F47-E47))</f>
        <v>0</v>
      </c>
      <c r="H47" s="15" t="str">
        <f aca="false">'Internal Transactions'!H47</f>
        <v>Bol.com Order</v>
      </c>
      <c r="I47" s="15" t="str">
        <f aca="false">IFERROR(VLOOKUP(A47,'Bank Statement'!A:G,7,FALSE()),"")</f>
        <v>BOL.COM ORDER</v>
      </c>
      <c r="J47" s="15" t="str">
        <f aca="false">IF(I47="","N/A",IF(Settings!$C$10="FALSE",IF(EXACT(UPPER(H47),UPPER(I47)),"Exact","No"),IF(EXACT(UPPER(H47),UPPER(I47)),"Exact",IF(ISNUMBER(SEARCH(LEFT(H47,FIND(" ",H47&amp;" ")-1),I47)),"Fuzzy",IF(ISNUMBER(SEARCH(SUBSTITUTE(H47," ",""),SUBSTITUTE(I47," ",""))),"Fuzzy","No")))))</f>
        <v>Exact</v>
      </c>
      <c r="K47" s="15" t="str">
        <f aca="false">IF(D47="","N/A",IF(AND(D47&gt;=0,D47&lt;=Settings!$C$6),"Yes","OUT OF WINDOW"))</f>
        <v>Yes</v>
      </c>
      <c r="L47" s="15" t="str">
        <f aca="false">IF(F47="","❌ Missing in Bank",IF(G47&gt;Settings!$C$7,"⚠ Amount Mismatch",IF(K47="OUT OF WINDOW","⏰ Late Settlement",IF(J47="No","⚠ Reference Mismatch","✅ Matched"))))</f>
        <v>✅ Matched</v>
      </c>
    </row>
    <row r="48" customFormat="false" ht="15" hidden="false" customHeight="false" outlineLevel="0" collapsed="false">
      <c r="A48" s="15" t="str">
        <f aca="false">'Internal Transactions'!A48</f>
        <v>SEPA-2025-1046</v>
      </c>
      <c r="B48" s="18" t="n">
        <f aca="false">'Internal Transactions'!B48</f>
        <v>45952.7083333333</v>
      </c>
      <c r="C48" s="18" t="n">
        <f aca="false">IFERROR(VLOOKUP(A48,'Bank Statement'!A:B,2,FALSE()),"")</f>
        <v>45955.9583333333</v>
      </c>
      <c r="D48" s="15" t="n">
        <f aca="false">IF(C48="","",INT(C48-B48))</f>
        <v>3</v>
      </c>
      <c r="E48" s="17" t="n">
        <f aca="false">'Internal Transactions'!C48</f>
        <v>751.95</v>
      </c>
      <c r="F48" s="17" t="n">
        <f aca="false">IFERROR(VLOOKUP(A48,'Bank Statement'!A:C,3,FALSE()),"")</f>
        <v>751.95</v>
      </c>
      <c r="G48" s="17" t="n">
        <f aca="false">IF(F48="","",ABS(F48-E48))</f>
        <v>0</v>
      </c>
      <c r="H48" s="15" t="str">
        <f aca="false">'Internal Transactions'!H48</f>
        <v>PostNL Pakket</v>
      </c>
      <c r="I48" s="15" t="str">
        <f aca="false">IFERROR(VLOOKUP(A48,'Bank Statement'!A:G,7,FALSE()),"")</f>
        <v>PostNL Pakket</v>
      </c>
      <c r="J48" s="15" t="str">
        <f aca="false">IF(I48="","N/A",IF(Settings!$C$10="FALSE",IF(EXACT(UPPER(H48),UPPER(I48)),"Exact","No"),IF(EXACT(UPPER(H48),UPPER(I48)),"Exact",IF(ISNUMBER(SEARCH(LEFT(H48,FIND(" ",H48&amp;" ")-1),I48)),"Fuzzy",IF(ISNUMBER(SEARCH(SUBSTITUTE(H48," ",""),SUBSTITUTE(I48," ",""))),"Fuzzy","No")))))</f>
        <v>Exact</v>
      </c>
      <c r="K48" s="15" t="str">
        <f aca="false">IF(D48="","N/A",IF(AND(D48&gt;=0,D48&lt;=Settings!$C$6),"Yes","OUT OF WINDOW"))</f>
        <v>Yes</v>
      </c>
      <c r="L48" s="15" t="str">
        <f aca="false">IF(F48="","❌ Missing in Bank",IF(G48&gt;Settings!$C$7,"⚠ Amount Mismatch",IF(K48="OUT OF WINDOW","⏰ Late Settlement",IF(J48="No","⚠ Reference Mismatch","✅ Matched"))))</f>
        <v>✅ Matched</v>
      </c>
    </row>
    <row r="49" customFormat="false" ht="15" hidden="false" customHeight="false" outlineLevel="0" collapsed="false">
      <c r="A49" s="15" t="str">
        <f aca="false">'Internal Transactions'!A49</f>
        <v>SEPA-2025-1047</v>
      </c>
      <c r="B49" s="18" t="n">
        <f aca="false">'Internal Transactions'!B49</f>
        <v>45954.7083333333</v>
      </c>
      <c r="C49" s="18" t="n">
        <f aca="false">IFERROR(VLOOKUP(A49,'Bank Statement'!A:B,2,FALSE()),"")</f>
        <v>45960</v>
      </c>
      <c r="D49" s="15" t="n">
        <f aca="false">IF(C49="","",INT(C49-B49))</f>
        <v>5</v>
      </c>
      <c r="E49" s="17" t="n">
        <f aca="false">'Internal Transactions'!C49</f>
        <v>392.84</v>
      </c>
      <c r="F49" s="17" t="n">
        <f aca="false">IFERROR(VLOOKUP(A49,'Bank Statement'!A:C,3,FALSE()),"")</f>
        <v>392.84</v>
      </c>
      <c r="G49" s="17" t="n">
        <f aca="false">IF(F49="","",ABS(F49-E49))</f>
        <v>0</v>
      </c>
      <c r="H49" s="15" t="str">
        <f aca="false">'Internal Transactions'!H49</f>
        <v>KPN Telecom</v>
      </c>
      <c r="I49" s="15" t="str">
        <f aca="false">IFERROR(VLOOKUP(A49,'Bank Statement'!A:G,7,FALSE()),"")</f>
        <v>KPN Telecom</v>
      </c>
      <c r="J49" s="15" t="str">
        <f aca="false">IF(I49="","N/A",IF(Settings!$C$10="FALSE",IF(EXACT(UPPER(H49),UPPER(I49)),"Exact","No"),IF(EXACT(UPPER(H49),UPPER(I49)),"Exact",IF(ISNUMBER(SEARCH(LEFT(H49,FIND(" ",H49&amp;" ")-1),I49)),"Fuzzy",IF(ISNUMBER(SEARCH(SUBSTITUTE(H49," ",""),SUBSTITUTE(I49," ",""))),"Fuzzy","No")))))</f>
        <v>Exact</v>
      </c>
      <c r="K49" s="15" t="str">
        <f aca="false">IF(D49="","N/A",IF(AND(D49&gt;=0,D49&lt;=Settings!$C$6),"Yes","OUT OF WINDOW"))</f>
        <v>OUT OF WINDOW</v>
      </c>
      <c r="L49" s="15" t="str">
        <f aca="false">IF(F49="","❌ Missing in Bank",IF(G49&gt;Settings!$C$7,"⚠ Amount Mismatch",IF(K49="OUT OF WINDOW","⏰ Late Settlement",IF(J49="No","⚠ Reference Mismatch","✅ Matched"))))</f>
        <v>⏰ Late Settlement</v>
      </c>
    </row>
    <row r="50" customFormat="false" ht="15" hidden="false" customHeight="false" outlineLevel="0" collapsed="false">
      <c r="A50" s="15" t="str">
        <f aca="false">'Internal Transactions'!A50</f>
        <v>SEPA-2025-1048</v>
      </c>
      <c r="B50" s="18" t="n">
        <f aca="false">'Internal Transactions'!B50</f>
        <v>45952.8333333333</v>
      </c>
      <c r="C50" s="18" t="n">
        <f aca="false">IFERROR(VLOOKUP(A50,'Bank Statement'!A:B,2,FALSE()),"")</f>
        <v>45953.875</v>
      </c>
      <c r="D50" s="15" t="n">
        <f aca="false">IF(C50="","",INT(C50-B50))</f>
        <v>1</v>
      </c>
      <c r="E50" s="17" t="n">
        <f aca="false">'Internal Transactions'!C50</f>
        <v>2133.02</v>
      </c>
      <c r="F50" s="17" t="n">
        <f aca="false">IFERROR(VLOOKUP(A50,'Bank Statement'!A:C,3,FALSE()),"")</f>
        <v>2133.02</v>
      </c>
      <c r="G50" s="17" t="n">
        <f aca="false">IF(F50="","",ABS(F50-E50))</f>
        <v>0</v>
      </c>
      <c r="H50" s="15" t="str">
        <f aca="false">'Internal Transactions'!H50</f>
        <v>Coolblue B.V.</v>
      </c>
      <c r="I50" s="15" t="str">
        <f aca="false">IFERROR(VLOOKUP(A50,'Bank Statement'!A:G,7,FALSE()),"")</f>
        <v>Coolblue B.V.</v>
      </c>
      <c r="J50" s="15" t="str">
        <f aca="false">IF(I50="","N/A",IF(Settings!$C$10="FALSE",IF(EXACT(UPPER(H50),UPPER(I50)),"Exact","No"),IF(EXACT(UPPER(H50),UPPER(I50)),"Exact",IF(ISNUMBER(SEARCH(LEFT(H50,FIND(" ",H50&amp;" ")-1),I50)),"Fuzzy",IF(ISNUMBER(SEARCH(SUBSTITUTE(H50," ",""),SUBSTITUTE(I50," ",""))),"Fuzzy","No")))))</f>
        <v>Exact</v>
      </c>
      <c r="K50" s="15" t="str">
        <f aca="false">IF(D50="","N/A",IF(AND(D50&gt;=0,D50&lt;=Settings!$C$6),"Yes","OUT OF WINDOW"))</f>
        <v>Yes</v>
      </c>
      <c r="L50" s="15" t="str">
        <f aca="false">IF(F50="","❌ Missing in Bank",IF(G50&gt;Settings!$C$7,"⚠ Amount Mismatch",IF(K50="OUT OF WINDOW","⏰ Late Settlement",IF(J50="No","⚠ Reference Mismatch","✅ Matched"))))</f>
        <v>✅ Matched</v>
      </c>
    </row>
    <row r="51" customFormat="false" ht="15" hidden="false" customHeight="false" outlineLevel="0" collapsed="false">
      <c r="A51" s="15" t="str">
        <f aca="false">'Internal Transactions'!A51</f>
        <v>SEPA-2025-1049</v>
      </c>
      <c r="B51" s="18" t="n">
        <f aca="false">'Internal Transactions'!B51</f>
        <v>45951.5416666667</v>
      </c>
      <c r="C51" s="18" t="n">
        <f aca="false">IFERROR(VLOOKUP(A51,'Bank Statement'!A:B,2,FALSE()),"")</f>
        <v>45953</v>
      </c>
      <c r="D51" s="15" t="n">
        <f aca="false">IF(C51="","",INT(C51-B51))</f>
        <v>1</v>
      </c>
      <c r="E51" s="17" t="n">
        <f aca="false">'Internal Transactions'!C51</f>
        <v>2074.22</v>
      </c>
      <c r="F51" s="17" t="n">
        <f aca="false">IFERROR(VLOOKUP(A51,'Bank Statement'!A:C,3,FALSE()),"")</f>
        <v>2074.22</v>
      </c>
      <c r="G51" s="17" t="n">
        <f aca="false">IF(F51="","",ABS(F51-E51))</f>
        <v>0</v>
      </c>
      <c r="H51" s="15" t="str">
        <f aca="false">'Internal Transactions'!H51</f>
        <v>Lidl Online</v>
      </c>
      <c r="I51" s="15" t="str">
        <f aca="false">IFERROR(VLOOKUP(A51,'Bank Statement'!A:G,7,FALSE()),"")</f>
        <v>LIDL ONLINE</v>
      </c>
      <c r="J51" s="15" t="str">
        <f aca="false">IF(I51="","N/A",IF(Settings!$C$10="FALSE",IF(EXACT(UPPER(H51),UPPER(I51)),"Exact","No"),IF(EXACT(UPPER(H51),UPPER(I51)),"Exact",IF(ISNUMBER(SEARCH(LEFT(H51,FIND(" ",H51&amp;" ")-1),I51)),"Fuzzy",IF(ISNUMBER(SEARCH(SUBSTITUTE(H51," ",""),SUBSTITUTE(I51," ",""))),"Fuzzy","No")))))</f>
        <v>Exact</v>
      </c>
      <c r="K51" s="15" t="str">
        <f aca="false">IF(D51="","N/A",IF(AND(D51&gt;=0,D51&lt;=Settings!$C$6),"Yes","OUT OF WINDOW"))</f>
        <v>Yes</v>
      </c>
      <c r="L51" s="15" t="str">
        <f aca="false">IF(F51="","❌ Missing in Bank",IF(G51&gt;Settings!$C$7,"⚠ Amount Mismatch",IF(K51="OUT OF WINDOW","⏰ Late Settlement",IF(J51="No","⚠ Reference Mismatch","✅ Matched"))))</f>
        <v>✅ Matched</v>
      </c>
    </row>
    <row r="52" customFormat="false" ht="15" hidden="false" customHeight="false" outlineLevel="0" collapsed="false">
      <c r="A52" s="15" t="str">
        <f aca="false">'Internal Transactions'!A52</f>
        <v>SEPA-2025-1050</v>
      </c>
      <c r="B52" s="18" t="n">
        <f aca="false">'Internal Transactions'!B52</f>
        <v>45936.9583333333</v>
      </c>
      <c r="C52" s="18" t="n">
        <f aca="false">IFERROR(VLOOKUP(A52,'Bank Statement'!A:B,2,FALSE()),"")</f>
        <v>45938.4166666667</v>
      </c>
      <c r="D52" s="15" t="n">
        <f aca="false">IF(C52="","",INT(C52-B52))</f>
        <v>1</v>
      </c>
      <c r="E52" s="17" t="n">
        <f aca="false">'Internal Transactions'!C52</f>
        <v>1107.38</v>
      </c>
      <c r="F52" s="17" t="n">
        <f aca="false">IFERROR(VLOOKUP(A52,'Bank Statement'!A:C,3,FALSE()),"")</f>
        <v>1107.38</v>
      </c>
      <c r="G52" s="17" t="n">
        <f aca="false">IF(F52="","",ABS(F52-E52))</f>
        <v>0</v>
      </c>
      <c r="H52" s="15" t="str">
        <f aca="false">'Internal Transactions'!H52</f>
        <v>Coolblue B.V.</v>
      </c>
      <c r="I52" s="15" t="str">
        <f aca="false">IFERROR(VLOOKUP(A52,'Bank Statement'!A:G,7,FALSE()),"")</f>
        <v>Coolblue B.V.</v>
      </c>
      <c r="J52" s="15" t="str">
        <f aca="false">IF(I52="","N/A",IF(Settings!$C$10="FALSE",IF(EXACT(UPPER(H52),UPPER(I52)),"Exact","No"),IF(EXACT(UPPER(H52),UPPER(I52)),"Exact",IF(ISNUMBER(SEARCH(LEFT(H52,FIND(" ",H52&amp;" ")-1),I52)),"Fuzzy",IF(ISNUMBER(SEARCH(SUBSTITUTE(H52," ",""),SUBSTITUTE(I52," ",""))),"Fuzzy","No")))))</f>
        <v>Exact</v>
      </c>
      <c r="K52" s="15" t="str">
        <f aca="false">IF(D52="","N/A",IF(AND(D52&gt;=0,D52&lt;=Settings!$C$6),"Yes","OUT OF WINDOW"))</f>
        <v>Yes</v>
      </c>
      <c r="L52" s="15" t="str">
        <f aca="false">IF(F52="","❌ Missing in Bank",IF(G52&gt;Settings!$C$7,"⚠ Amount Mismatch",IF(K52="OUT OF WINDOW","⏰ Late Settlement",IF(J52="No","⚠ Reference Mismatch","✅ Matched"))))</f>
        <v>✅ Matched</v>
      </c>
    </row>
    <row r="53" customFormat="false" ht="15" hidden="false" customHeight="false" outlineLevel="0" collapsed="false">
      <c r="A53" s="15" t="str">
        <f aca="false">'Internal Transactions'!A53</f>
        <v>SEPA-2025-1051</v>
      </c>
      <c r="B53" s="18" t="n">
        <f aca="false">'Internal Transactions'!B53</f>
        <v>45961.9166666667</v>
      </c>
      <c r="C53" s="18" t="n">
        <f aca="false">IFERROR(VLOOKUP(A53,'Bank Statement'!A:B,2,FALSE()),"")</f>
        <v>45964.25</v>
      </c>
      <c r="D53" s="15" t="n">
        <f aca="false">IF(C53="","",INT(C53-B53))</f>
        <v>2</v>
      </c>
      <c r="E53" s="17" t="n">
        <f aca="false">'Internal Transactions'!C53</f>
        <v>2260.3</v>
      </c>
      <c r="F53" s="17" t="n">
        <f aca="false">IFERROR(VLOOKUP(A53,'Bank Statement'!A:C,3,FALSE()),"")</f>
        <v>2260.3</v>
      </c>
      <c r="G53" s="17" t="n">
        <f aca="false">IF(F53="","",ABS(F53-E53))</f>
        <v>0</v>
      </c>
      <c r="H53" s="15" t="str">
        <f aca="false">'Internal Transactions'!H53</f>
        <v>Vodafone Mobile</v>
      </c>
      <c r="I53" s="15" t="str">
        <f aca="false">IFERROR(VLOOKUP(A53,'Bank Statement'!A:G,7,FALSE()),"")</f>
        <v>Vodafone Mobile</v>
      </c>
      <c r="J53" s="15" t="str">
        <f aca="false">IF(I53="","N/A",IF(Settings!$C$10="FALSE",IF(EXACT(UPPER(H53),UPPER(I53)),"Exact","No"),IF(EXACT(UPPER(H53),UPPER(I53)),"Exact",IF(ISNUMBER(SEARCH(LEFT(H53,FIND(" ",H53&amp;" ")-1),I53)),"Fuzzy",IF(ISNUMBER(SEARCH(SUBSTITUTE(H53," ",""),SUBSTITUTE(I53," ",""))),"Fuzzy","No")))))</f>
        <v>Exact</v>
      </c>
      <c r="K53" s="15" t="str">
        <f aca="false">IF(D53="","N/A",IF(AND(D53&gt;=0,D53&lt;=Settings!$C$6),"Yes","OUT OF WINDOW"))</f>
        <v>Yes</v>
      </c>
      <c r="L53" s="15" t="str">
        <f aca="false">IF(F53="","❌ Missing in Bank",IF(G53&gt;Settings!$C$7,"⚠ Amount Mismatch",IF(K53="OUT OF WINDOW","⏰ Late Settlement",IF(J53="No","⚠ Reference Mismatch","✅ Matched"))))</f>
        <v>✅ Matched</v>
      </c>
    </row>
    <row r="54" customFormat="false" ht="15" hidden="false" customHeight="false" outlineLevel="0" collapsed="false">
      <c r="A54" s="15" t="str">
        <f aca="false">'Internal Transactions'!A54</f>
        <v>SEPA-2025-1052</v>
      </c>
      <c r="B54" s="18" t="n">
        <f aca="false">'Internal Transactions'!B54</f>
        <v>45948.1666666667</v>
      </c>
      <c r="C54" s="18" t="n">
        <f aca="false">IFERROR(VLOOKUP(A54,'Bank Statement'!A:B,2,FALSE()),"")</f>
        <v>45950.5</v>
      </c>
      <c r="D54" s="15" t="n">
        <f aca="false">IF(C54="","",INT(C54-B54))</f>
        <v>2</v>
      </c>
      <c r="E54" s="17" t="n">
        <f aca="false">'Internal Transactions'!C54</f>
        <v>1077.32</v>
      </c>
      <c r="F54" s="17" t="n">
        <f aca="false">IFERROR(VLOOKUP(A54,'Bank Statement'!A:C,3,FALSE()),"")</f>
        <v>1077.32</v>
      </c>
      <c r="G54" s="17" t="n">
        <f aca="false">IF(F54="","",ABS(F54-E54))</f>
        <v>0</v>
      </c>
      <c r="H54" s="15" t="str">
        <f aca="false">'Internal Transactions'!H54</f>
        <v>MediaMarkt</v>
      </c>
      <c r="I54" s="15" t="str">
        <f aca="false">IFERROR(VLOOKUP(A54,'Bank Statement'!A:G,7,FALSE()),"")</f>
        <v>MediaMarkt NL</v>
      </c>
      <c r="J54" s="15" t="str">
        <f aca="false">IF(I54="","N/A",IF(Settings!$C$10="FALSE",IF(EXACT(UPPER(H54),UPPER(I54)),"Exact","No"),IF(EXACT(UPPER(H54),UPPER(I54)),"Exact",IF(ISNUMBER(SEARCH(LEFT(H54,FIND(" ",H54&amp;" ")-1),I54)),"Fuzzy",IF(ISNUMBER(SEARCH(SUBSTITUTE(H54," ",""),SUBSTITUTE(I54," ",""))),"Fuzzy","No")))))</f>
        <v>Fuzzy</v>
      </c>
      <c r="K54" s="15" t="str">
        <f aca="false">IF(D54="","N/A",IF(AND(D54&gt;=0,D54&lt;=Settings!$C$6),"Yes","OUT OF WINDOW"))</f>
        <v>Yes</v>
      </c>
      <c r="L54" s="15" t="str">
        <f aca="false">IF(F54="","❌ Missing in Bank",IF(G54&gt;Settings!$C$7,"⚠ Amount Mismatch",IF(K54="OUT OF WINDOW","⏰ Late Settlement",IF(J54="No","⚠ Reference Mismatch","✅ Matched"))))</f>
        <v>✅ Matched</v>
      </c>
    </row>
    <row r="55" customFormat="false" ht="15" hidden="false" customHeight="false" outlineLevel="0" collapsed="false">
      <c r="A55" s="15" t="str">
        <f aca="false">'Internal Transactions'!A55</f>
        <v>SEPA-2025-1053</v>
      </c>
      <c r="B55" s="18" t="n">
        <f aca="false">'Internal Transactions'!B55</f>
        <v>45937.875</v>
      </c>
      <c r="C55" s="18" t="n">
        <f aca="false">IFERROR(VLOOKUP(A55,'Bank Statement'!A:B,2,FALSE()),"")</f>
        <v>45943.3333333333</v>
      </c>
      <c r="D55" s="15" t="n">
        <f aca="false">IF(C55="","",INT(C55-B55))</f>
        <v>5</v>
      </c>
      <c r="E55" s="17" t="n">
        <f aca="false">'Internal Transactions'!C55</f>
        <v>627.58</v>
      </c>
      <c r="F55" s="17" t="n">
        <f aca="false">IFERROR(VLOOKUP(A55,'Bank Statement'!A:C,3,FALSE()),"")</f>
        <v>627.58</v>
      </c>
      <c r="G55" s="17" t="n">
        <f aca="false">IF(F55="","",ABS(F55-E55))</f>
        <v>0</v>
      </c>
      <c r="H55" s="15" t="str">
        <f aca="false">'Internal Transactions'!H55</f>
        <v>Albert Heijn Bezorging</v>
      </c>
      <c r="I55" s="15" t="str">
        <f aca="false">IFERROR(VLOOKUP(A55,'Bank Statement'!A:G,7,FALSE()),"")</f>
        <v>Albert</v>
      </c>
      <c r="J55" s="15" t="str">
        <f aca="false">IF(I55="","N/A",IF(Settings!$C$10="FALSE",IF(EXACT(UPPER(H55),UPPER(I55)),"Exact","No"),IF(EXACT(UPPER(H55),UPPER(I55)),"Exact",IF(ISNUMBER(SEARCH(LEFT(H55,FIND(" ",H55&amp;" ")-1),I55)),"Fuzzy",IF(ISNUMBER(SEARCH(SUBSTITUTE(H55," ",""),SUBSTITUTE(I55," ",""))),"Fuzzy","No")))))</f>
        <v>Fuzzy</v>
      </c>
      <c r="K55" s="15" t="str">
        <f aca="false">IF(D55="","N/A",IF(AND(D55&gt;=0,D55&lt;=Settings!$C$6),"Yes","OUT OF WINDOW"))</f>
        <v>OUT OF WINDOW</v>
      </c>
      <c r="L55" s="15" t="str">
        <f aca="false">IF(F55="","❌ Missing in Bank",IF(G55&gt;Settings!$C$7,"⚠ Amount Mismatch",IF(K55="OUT OF WINDOW","⏰ Late Settlement",IF(J55="No","⚠ Reference Mismatch","✅ Matched"))))</f>
        <v>⏰ Late Settlement</v>
      </c>
    </row>
    <row r="56" customFormat="false" ht="15" hidden="false" customHeight="false" outlineLevel="0" collapsed="false">
      <c r="A56" s="15" t="str">
        <f aca="false">'Internal Transactions'!A56</f>
        <v>SEPA-2025-1054</v>
      </c>
      <c r="B56" s="18" t="n">
        <f aca="false">'Internal Transactions'!B56</f>
        <v>45950.9583333333</v>
      </c>
      <c r="C56" s="18" t="n">
        <f aca="false">IFERROR(VLOOKUP(A56,'Bank Statement'!A:B,2,FALSE()),"")</f>
        <v>45952.125</v>
      </c>
      <c r="D56" s="15" t="n">
        <f aca="false">IF(C56="","",INT(C56-B56))</f>
        <v>1</v>
      </c>
      <c r="E56" s="17" t="n">
        <f aca="false">'Internal Transactions'!C56</f>
        <v>390.61</v>
      </c>
      <c r="F56" s="17" t="n">
        <f aca="false">IFERROR(VLOOKUP(A56,'Bank Statement'!A:C,3,FALSE()),"")</f>
        <v>390.61</v>
      </c>
      <c r="G56" s="17" t="n">
        <f aca="false">IF(F56="","",ABS(F56-E56))</f>
        <v>0</v>
      </c>
      <c r="H56" s="15" t="str">
        <f aca="false">'Internal Transactions'!H56</f>
        <v>Albert Heijn Bezorging</v>
      </c>
      <c r="I56" s="15" t="str">
        <f aca="false">IFERROR(VLOOKUP(A56,'Bank Statement'!A:G,7,FALSE()),"")</f>
        <v>Albert Heijn Bezorging</v>
      </c>
      <c r="J56" s="15" t="str">
        <f aca="false">IF(I56="","N/A",IF(Settings!$C$10="FALSE",IF(EXACT(UPPER(H56),UPPER(I56)),"Exact","No"),IF(EXACT(UPPER(H56),UPPER(I56)),"Exact",IF(ISNUMBER(SEARCH(LEFT(H56,FIND(" ",H56&amp;" ")-1),I56)),"Fuzzy",IF(ISNUMBER(SEARCH(SUBSTITUTE(H56," ",""),SUBSTITUTE(I56," ",""))),"Fuzzy","No")))))</f>
        <v>Exact</v>
      </c>
      <c r="K56" s="15" t="str">
        <f aca="false">IF(D56="","N/A",IF(AND(D56&gt;=0,D56&lt;=Settings!$C$6),"Yes","OUT OF WINDOW"))</f>
        <v>Yes</v>
      </c>
      <c r="L56" s="15" t="str">
        <f aca="false">IF(F56="","❌ Missing in Bank",IF(G56&gt;Settings!$C$7,"⚠ Amount Mismatch",IF(K56="OUT OF WINDOW","⏰ Late Settlement",IF(J56="No","⚠ Reference Mismatch","✅ Matched"))))</f>
        <v>✅ Matched</v>
      </c>
    </row>
    <row r="57" customFormat="false" ht="15" hidden="false" customHeight="false" outlineLevel="0" collapsed="false">
      <c r="A57" s="15" t="str">
        <f aca="false">'Internal Transactions'!A57</f>
        <v>SEPA-2025-1055</v>
      </c>
      <c r="B57" s="18" t="n">
        <f aca="false">'Internal Transactions'!B57</f>
        <v>45931.2083333333</v>
      </c>
      <c r="C57" s="18" t="str">
        <f aca="false">IFERROR(VLOOKUP(A57,'Bank Statement'!A:B,2,FALSE()),"")</f>
        <v/>
      </c>
      <c r="D57" s="15" t="str">
        <f aca="false">IF(C57="","",INT(C57-B57))</f>
        <v/>
      </c>
      <c r="E57" s="17" t="n">
        <f aca="false">'Internal Transactions'!C57</f>
        <v>1842.73</v>
      </c>
      <c r="F57" s="17" t="str">
        <f aca="false">IFERROR(VLOOKUP(A57,'Bank Statement'!A:C,3,FALSE()),"")</f>
        <v/>
      </c>
      <c r="G57" s="17" t="str">
        <f aca="false">IF(F57="","",ABS(F57-E57))</f>
        <v/>
      </c>
      <c r="H57" s="15" t="str">
        <f aca="false">'Internal Transactions'!H57</f>
        <v>Lidl Online</v>
      </c>
      <c r="I57" s="15" t="str">
        <f aca="false">IFERROR(VLOOKUP(A57,'Bank Statement'!A:G,7,FALSE()),"")</f>
        <v/>
      </c>
      <c r="J57" s="15" t="str">
        <f aca="false">IF(I57="","N/A",IF(Settings!$C$10="FALSE",IF(EXACT(UPPER(H57),UPPER(I57)),"Exact","No"),IF(EXACT(UPPER(H57),UPPER(I57)),"Exact",IF(ISNUMBER(SEARCH(LEFT(H57,FIND(" ",H57&amp;" ")-1),I57)),"Fuzzy",IF(ISNUMBER(SEARCH(SUBSTITUTE(H57," ",""),SUBSTITUTE(I57," ",""))),"Fuzzy","No")))))</f>
        <v>N/A</v>
      </c>
      <c r="K57" s="15" t="str">
        <f aca="false">IF(D57="","N/A",IF(AND(D57&gt;=0,D57&lt;=Settings!$C$6),"Yes","OUT OF WINDOW"))</f>
        <v>N/A</v>
      </c>
      <c r="L57" s="15" t="str">
        <f aca="false">IF(F57="","❌ Missing in Bank",IF(G57&gt;Settings!$C$7,"⚠ Amount Mismatch",IF(K57="OUT OF WINDOW","⏰ Late Settlement",IF(J57="No","⚠ Reference Mismatch","✅ Matched"))))</f>
        <v>❌ Missing in Bank</v>
      </c>
    </row>
    <row r="58" customFormat="false" ht="15" hidden="false" customHeight="false" outlineLevel="0" collapsed="false">
      <c r="A58" s="15" t="str">
        <f aca="false">'Internal Transactions'!A58</f>
        <v>SEPA-2025-1056</v>
      </c>
      <c r="B58" s="18" t="n">
        <f aca="false">'Internal Transactions'!B58</f>
        <v>45936.9166666667</v>
      </c>
      <c r="C58" s="18" t="n">
        <f aca="false">IFERROR(VLOOKUP(A58,'Bank Statement'!A:B,2,FALSE()),"")</f>
        <v>45938</v>
      </c>
      <c r="D58" s="15" t="n">
        <f aca="false">IF(C58="","",INT(C58-B58))</f>
        <v>1</v>
      </c>
      <c r="E58" s="17" t="n">
        <f aca="false">'Internal Transactions'!C58</f>
        <v>274.7</v>
      </c>
      <c r="F58" s="17" t="n">
        <f aca="false">IFERROR(VLOOKUP(A58,'Bank Statement'!A:C,3,FALSE()),"")</f>
        <v>274.7</v>
      </c>
      <c r="G58" s="17" t="n">
        <f aca="false">IF(F58="","",ABS(F58-E58))</f>
        <v>0</v>
      </c>
      <c r="H58" s="15" t="str">
        <f aca="false">'Internal Transactions'!H58</f>
        <v>Coolblue Returns</v>
      </c>
      <c r="I58" s="15" t="str">
        <f aca="false">IFERROR(VLOOKUP(A58,'Bank Statement'!A:G,7,FALSE()),"")</f>
        <v>Coolblue Returns - REF7751</v>
      </c>
      <c r="J58" s="15" t="str">
        <f aca="false">IF(I58="","N/A",IF(Settings!$C$10="FALSE",IF(EXACT(UPPER(H58),UPPER(I58)),"Exact","No"),IF(EXACT(UPPER(H58),UPPER(I58)),"Exact",IF(ISNUMBER(SEARCH(LEFT(H58,FIND(" ",H58&amp;" ")-1),I58)),"Fuzzy",IF(ISNUMBER(SEARCH(SUBSTITUTE(H58," ",""),SUBSTITUTE(I58," ",""))),"Fuzzy","No")))))</f>
        <v>Fuzzy</v>
      </c>
      <c r="K58" s="15" t="str">
        <f aca="false">IF(D58="","N/A",IF(AND(D58&gt;=0,D58&lt;=Settings!$C$6),"Yes","OUT OF WINDOW"))</f>
        <v>Yes</v>
      </c>
      <c r="L58" s="15" t="str">
        <f aca="false">IF(F58="","❌ Missing in Bank",IF(G58&gt;Settings!$C$7,"⚠ Amount Mismatch",IF(K58="OUT OF WINDOW","⏰ Late Settlement",IF(J58="No","⚠ Reference Mismatch","✅ Matched"))))</f>
        <v>✅ Matched</v>
      </c>
    </row>
    <row r="59" customFormat="false" ht="15" hidden="false" customHeight="false" outlineLevel="0" collapsed="false">
      <c r="A59" s="15" t="str">
        <f aca="false">'Internal Transactions'!A59</f>
        <v>SEPA-2025-1057</v>
      </c>
      <c r="B59" s="18" t="n">
        <f aca="false">'Internal Transactions'!B59</f>
        <v>45942.375</v>
      </c>
      <c r="C59" s="18" t="n">
        <f aca="false">IFERROR(VLOOKUP(A59,'Bank Statement'!A:B,2,FALSE()),"")</f>
        <v>45943.75</v>
      </c>
      <c r="D59" s="15" t="n">
        <f aca="false">IF(C59="","",INT(C59-B59))</f>
        <v>1</v>
      </c>
      <c r="E59" s="17" t="n">
        <f aca="false">'Internal Transactions'!C59</f>
        <v>2052.24</v>
      </c>
      <c r="F59" s="17" t="n">
        <f aca="false">IFERROR(VLOOKUP(A59,'Bank Statement'!A:C,3,FALSE()),"")</f>
        <v>2052.24</v>
      </c>
      <c r="G59" s="17" t="n">
        <f aca="false">IF(F59="","",ABS(F59-E59))</f>
        <v>0</v>
      </c>
      <c r="H59" s="15" t="str">
        <f aca="false">'Internal Transactions'!H59</f>
        <v>HEMA Webshop</v>
      </c>
      <c r="I59" s="15" t="str">
        <f aca="false">IFERROR(VLOOKUP(A59,'Bank Statement'!A:G,7,FALSE()),"")</f>
        <v>HEMA Webshop</v>
      </c>
      <c r="J59" s="15" t="str">
        <f aca="false">IF(I59="","N/A",IF(Settings!$C$10="FALSE",IF(EXACT(UPPER(H59),UPPER(I59)),"Exact","No"),IF(EXACT(UPPER(H59),UPPER(I59)),"Exact",IF(ISNUMBER(SEARCH(LEFT(H59,FIND(" ",H59&amp;" ")-1),I59)),"Fuzzy",IF(ISNUMBER(SEARCH(SUBSTITUTE(H59," ",""),SUBSTITUTE(I59," ",""))),"Fuzzy","No")))))</f>
        <v>Exact</v>
      </c>
      <c r="K59" s="15" t="str">
        <f aca="false">IF(D59="","N/A",IF(AND(D59&gt;=0,D59&lt;=Settings!$C$6),"Yes","OUT OF WINDOW"))</f>
        <v>Yes</v>
      </c>
      <c r="L59" s="15" t="str">
        <f aca="false">IF(F59="","❌ Missing in Bank",IF(G59&gt;Settings!$C$7,"⚠ Amount Mismatch",IF(K59="OUT OF WINDOW","⏰ Late Settlement",IF(J59="No","⚠ Reference Mismatch","✅ Matched"))))</f>
        <v>✅ Matched</v>
      </c>
    </row>
    <row r="60" customFormat="false" ht="15" hidden="false" customHeight="false" outlineLevel="0" collapsed="false">
      <c r="A60" s="15" t="str">
        <f aca="false">'Internal Transactions'!A60</f>
        <v>SEPA-2025-1058</v>
      </c>
      <c r="B60" s="18" t="n">
        <f aca="false">'Internal Transactions'!B60</f>
        <v>45941.3333333333</v>
      </c>
      <c r="C60" s="18" t="n">
        <f aca="false">IFERROR(VLOOKUP(A60,'Bank Statement'!A:B,2,FALSE()),"")</f>
        <v>45944.4166666667</v>
      </c>
      <c r="D60" s="15" t="n">
        <f aca="false">IF(C60="","",INT(C60-B60))</f>
        <v>3</v>
      </c>
      <c r="E60" s="17" t="n">
        <f aca="false">'Internal Transactions'!C60</f>
        <v>2161.56</v>
      </c>
      <c r="F60" s="17" t="n">
        <f aca="false">IFERROR(VLOOKUP(A60,'Bank Statement'!A:C,3,FALSE()),"")</f>
        <v>2161.56</v>
      </c>
      <c r="G60" s="17" t="n">
        <f aca="false">IF(F60="","",ABS(F60-E60))</f>
        <v>0</v>
      </c>
      <c r="H60" s="15" t="str">
        <f aca="false">'Internal Transactions'!H60</f>
        <v>HEMA Webshop</v>
      </c>
      <c r="I60" s="15" t="str">
        <f aca="false">IFERROR(VLOOKUP(A60,'Bank Statement'!A:G,7,FALSE()),"")</f>
        <v>PMT HEMA Webshop</v>
      </c>
      <c r="J60" s="15" t="str">
        <f aca="false">IF(I60="","N/A",IF(Settings!$C$10="FALSE",IF(EXACT(UPPER(H60),UPPER(I60)),"Exact","No"),IF(EXACT(UPPER(H60),UPPER(I60)),"Exact",IF(ISNUMBER(SEARCH(LEFT(H60,FIND(" ",H60&amp;" ")-1),I60)),"Fuzzy",IF(ISNUMBER(SEARCH(SUBSTITUTE(H60," ",""),SUBSTITUTE(I60," ",""))),"Fuzzy","No")))))</f>
        <v>Fuzzy</v>
      </c>
      <c r="K60" s="15" t="str">
        <f aca="false">IF(D60="","N/A",IF(AND(D60&gt;=0,D60&lt;=Settings!$C$6),"Yes","OUT OF WINDOW"))</f>
        <v>Yes</v>
      </c>
      <c r="L60" s="15" t="str">
        <f aca="false">IF(F60="","❌ Missing in Bank",IF(G60&gt;Settings!$C$7,"⚠ Amount Mismatch",IF(K60="OUT OF WINDOW","⏰ Late Settlement",IF(J60="No","⚠ Reference Mismatch","✅ Matched"))))</f>
        <v>✅ Matched</v>
      </c>
    </row>
    <row r="61" customFormat="false" ht="15" hidden="false" customHeight="false" outlineLevel="0" collapsed="false">
      <c r="A61" s="15" t="str">
        <f aca="false">'Internal Transactions'!A61</f>
        <v>SEPA-2025-1059</v>
      </c>
      <c r="B61" s="18" t="n">
        <f aca="false">'Internal Transactions'!B61</f>
        <v>45952.7083333333</v>
      </c>
      <c r="C61" s="18" t="n">
        <f aca="false">IFERROR(VLOOKUP(A61,'Bank Statement'!A:B,2,FALSE()),"")</f>
        <v>45956.125</v>
      </c>
      <c r="D61" s="15" t="n">
        <f aca="false">IF(C61="","",INT(C61-B61))</f>
        <v>3</v>
      </c>
      <c r="E61" s="17" t="n">
        <f aca="false">'Internal Transactions'!C61</f>
        <v>831.22</v>
      </c>
      <c r="F61" s="17" t="n">
        <f aca="false">IFERROR(VLOOKUP(A61,'Bank Statement'!A:C,3,FALSE()),"")</f>
        <v>832.22</v>
      </c>
      <c r="G61" s="17" t="n">
        <f aca="false">IF(F61="","",ABS(F61-E61))</f>
        <v>1</v>
      </c>
      <c r="H61" s="15" t="str">
        <f aca="false">'Internal Transactions'!H61</f>
        <v>Vodafone Mobile</v>
      </c>
      <c r="I61" s="15" t="str">
        <f aca="false">IFERROR(VLOOKUP(A61,'Bank Statement'!A:G,7,FALSE()),"")</f>
        <v>Vodafone Mobile</v>
      </c>
      <c r="J61" s="15" t="str">
        <f aca="false">IF(I61="","N/A",IF(Settings!$C$10="FALSE",IF(EXACT(UPPER(H61),UPPER(I61)),"Exact","No"),IF(EXACT(UPPER(H61),UPPER(I61)),"Exact",IF(ISNUMBER(SEARCH(LEFT(H61,FIND(" ",H61&amp;" ")-1),I61)),"Fuzzy",IF(ISNUMBER(SEARCH(SUBSTITUTE(H61," ",""),SUBSTITUTE(I61," ",""))),"Fuzzy","No")))))</f>
        <v>Exact</v>
      </c>
      <c r="K61" s="15" t="str">
        <f aca="false">IF(D61="","N/A",IF(AND(D61&gt;=0,D61&lt;=Settings!$C$6),"Yes","OUT OF WINDOW"))</f>
        <v>Yes</v>
      </c>
      <c r="L61" s="15" t="str">
        <f aca="false">IF(F61="","❌ Missing in Bank",IF(G61&gt;Settings!$C$7,"⚠ Amount Mismatch",IF(K61="OUT OF WINDOW","⏰ Late Settlement",IF(J61="No","⚠ Reference Mismatch","✅ Matched"))))</f>
        <v>⚠ Amount Mismatch</v>
      </c>
    </row>
    <row r="62" customFormat="false" ht="15" hidden="false" customHeight="false" outlineLevel="0" collapsed="false">
      <c r="A62" s="15" t="str">
        <f aca="false">'Internal Transactions'!A62</f>
        <v>SEPA-2025-1060</v>
      </c>
      <c r="B62" s="18" t="n">
        <f aca="false">'Internal Transactions'!B62</f>
        <v>45961.3333333333</v>
      </c>
      <c r="C62" s="18" t="n">
        <f aca="false">IFERROR(VLOOKUP(A62,'Bank Statement'!A:B,2,FALSE()),"")</f>
        <v>45966.5</v>
      </c>
      <c r="D62" s="15" t="n">
        <f aca="false">IF(C62="","",INT(C62-B62))</f>
        <v>5</v>
      </c>
      <c r="E62" s="17" t="n">
        <f aca="false">'Internal Transactions'!C62</f>
        <v>100.45</v>
      </c>
      <c r="F62" s="17" t="n">
        <f aca="false">IFERROR(VLOOKUP(A62,'Bank Statement'!A:C,3,FALSE()),"")</f>
        <v>100.45</v>
      </c>
      <c r="G62" s="17" t="n">
        <f aca="false">IF(F62="","",ABS(F62-E62))</f>
        <v>0</v>
      </c>
      <c r="H62" s="15" t="str">
        <f aca="false">'Internal Transactions'!H62</f>
        <v>Albert Heijn Bezorging</v>
      </c>
      <c r="I62" s="15" t="str">
        <f aca="false">IFERROR(VLOOKUP(A62,'Bank Statement'!A:G,7,FALSE()),"")</f>
        <v>Albert Heijn Bezorging</v>
      </c>
      <c r="J62" s="15" t="str">
        <f aca="false">IF(I62="","N/A",IF(Settings!$C$10="FALSE",IF(EXACT(UPPER(H62),UPPER(I62)),"Exact","No"),IF(EXACT(UPPER(H62),UPPER(I62)),"Exact",IF(ISNUMBER(SEARCH(LEFT(H62,FIND(" ",H62&amp;" ")-1),I62)),"Fuzzy",IF(ISNUMBER(SEARCH(SUBSTITUTE(H62," ",""),SUBSTITUTE(I62," ",""))),"Fuzzy","No")))))</f>
        <v>Exact</v>
      </c>
      <c r="K62" s="15" t="str">
        <f aca="false">IF(D62="","N/A",IF(AND(D62&gt;=0,D62&lt;=Settings!$C$6),"Yes","OUT OF WINDOW"))</f>
        <v>OUT OF WINDOW</v>
      </c>
      <c r="L62" s="15" t="str">
        <f aca="false">IF(F62="","❌ Missing in Bank",IF(G62&gt;Settings!$C$7,"⚠ Amount Mismatch",IF(K62="OUT OF WINDOW","⏰ Late Settlement",IF(J62="No","⚠ Reference Mismatch","✅ Matched"))))</f>
        <v>⏰ Late Settlement</v>
      </c>
    </row>
    <row r="63" customFormat="false" ht="15" hidden="false" customHeight="false" outlineLevel="0" collapsed="false">
      <c r="A63" s="15" t="str">
        <f aca="false">'Internal Transactions'!A63</f>
        <v>SEPA-2025-1061</v>
      </c>
      <c r="B63" s="18" t="n">
        <f aca="false">'Internal Transactions'!B63</f>
        <v>45950.6666666667</v>
      </c>
      <c r="C63" s="18" t="n">
        <f aca="false">IFERROR(VLOOKUP(A63,'Bank Statement'!A:B,2,FALSE()),"")</f>
        <v>45953.7916666667</v>
      </c>
      <c r="D63" s="15" t="n">
        <f aca="false">IF(C63="","",INT(C63-B63))</f>
        <v>3</v>
      </c>
      <c r="E63" s="17" t="n">
        <f aca="false">'Internal Transactions'!C63</f>
        <v>293.54</v>
      </c>
      <c r="F63" s="17" t="n">
        <f aca="false">IFERROR(VLOOKUP(A63,'Bank Statement'!A:C,3,FALSE()),"")</f>
        <v>293.54</v>
      </c>
      <c r="G63" s="17" t="n">
        <f aca="false">IF(F63="","",ABS(F63-E63))</f>
        <v>0</v>
      </c>
      <c r="H63" s="15" t="str">
        <f aca="false">'Internal Transactions'!H63</f>
        <v>Albert Heijn Bezorging</v>
      </c>
      <c r="I63" s="15" t="str">
        <f aca="false">IFERROR(VLOOKUP(A63,'Bank Statement'!A:G,7,FALSE()),"")</f>
        <v>Albert Heijn Bezorging</v>
      </c>
      <c r="J63" s="15" t="str">
        <f aca="false">IF(I63="","N/A",IF(Settings!$C$10="FALSE",IF(EXACT(UPPER(H63),UPPER(I63)),"Exact","No"),IF(EXACT(UPPER(H63),UPPER(I63)),"Exact",IF(ISNUMBER(SEARCH(LEFT(H63,FIND(" ",H63&amp;" ")-1),I63)),"Fuzzy",IF(ISNUMBER(SEARCH(SUBSTITUTE(H63," ",""),SUBSTITUTE(I63," ",""))),"Fuzzy","No")))))</f>
        <v>Exact</v>
      </c>
      <c r="K63" s="15" t="str">
        <f aca="false">IF(D63="","N/A",IF(AND(D63&gt;=0,D63&lt;=Settings!$C$6),"Yes","OUT OF WINDOW"))</f>
        <v>Yes</v>
      </c>
      <c r="L63" s="15" t="str">
        <f aca="false">IF(F63="","❌ Missing in Bank",IF(G63&gt;Settings!$C$7,"⚠ Amount Mismatch",IF(K63="OUT OF WINDOW","⏰ Late Settlement",IF(J63="No","⚠ Reference Mismatch","✅ Matched"))))</f>
        <v>✅ Matched</v>
      </c>
    </row>
    <row r="64" customFormat="false" ht="15" hidden="false" customHeight="false" outlineLevel="0" collapsed="false">
      <c r="A64" s="15" t="str">
        <f aca="false">'Internal Transactions'!A64</f>
        <v>SEPA-2025-1062</v>
      </c>
      <c r="B64" s="18" t="n">
        <f aca="false">'Internal Transactions'!B64</f>
        <v>45931.6666666667</v>
      </c>
      <c r="C64" s="18" t="n">
        <f aca="false">IFERROR(VLOOKUP(A64,'Bank Statement'!A:B,2,FALSE()),"")</f>
        <v>45932.875</v>
      </c>
      <c r="D64" s="15" t="n">
        <f aca="false">IF(C64="","",INT(C64-B64))</f>
        <v>1</v>
      </c>
      <c r="E64" s="17" t="n">
        <f aca="false">'Internal Transactions'!C64</f>
        <v>2314.31</v>
      </c>
      <c r="F64" s="17" t="n">
        <f aca="false">IFERROR(VLOOKUP(A64,'Bank Statement'!A:C,3,FALSE()),"")</f>
        <v>2314.31</v>
      </c>
      <c r="G64" s="17" t="n">
        <f aca="false">IF(F64="","",ABS(F64-E64))</f>
        <v>0</v>
      </c>
      <c r="H64" s="15" t="str">
        <f aca="false">'Internal Transactions'!H64</f>
        <v>MediaMarkt</v>
      </c>
      <c r="I64" s="15" t="str">
        <f aca="false">IFERROR(VLOOKUP(A64,'Bank Statement'!A:G,7,FALSE()),"")</f>
        <v>MediaMarkt</v>
      </c>
      <c r="J64" s="15" t="str">
        <f aca="false">IF(I64="","N/A",IF(Settings!$C$10="FALSE",IF(EXACT(UPPER(H64),UPPER(I64)),"Exact","No"),IF(EXACT(UPPER(H64),UPPER(I64)),"Exact",IF(ISNUMBER(SEARCH(LEFT(H64,FIND(" ",H64&amp;" ")-1),I64)),"Fuzzy",IF(ISNUMBER(SEARCH(SUBSTITUTE(H64," ",""),SUBSTITUTE(I64," ",""))),"Fuzzy","No")))))</f>
        <v>Exact</v>
      </c>
      <c r="K64" s="15" t="str">
        <f aca="false">IF(D64="","N/A",IF(AND(D64&gt;=0,D64&lt;=Settings!$C$6),"Yes","OUT OF WINDOW"))</f>
        <v>Yes</v>
      </c>
      <c r="L64" s="15" t="str">
        <f aca="false">IF(F64="","❌ Missing in Bank",IF(G64&gt;Settings!$C$7,"⚠ Amount Mismatch",IF(K64="OUT OF WINDOW","⏰ Late Settlement",IF(J64="No","⚠ Reference Mismatch","✅ Matched"))))</f>
        <v>✅ Matched</v>
      </c>
    </row>
    <row r="65" customFormat="false" ht="15" hidden="false" customHeight="false" outlineLevel="0" collapsed="false">
      <c r="A65" s="15" t="str">
        <f aca="false">'Internal Transactions'!A65</f>
        <v>SEPA-2025-1063</v>
      </c>
      <c r="B65" s="18" t="n">
        <f aca="false">'Internal Transactions'!B65</f>
        <v>45944.0833333333</v>
      </c>
      <c r="C65" s="18" t="n">
        <f aca="false">IFERROR(VLOOKUP(A65,'Bank Statement'!A:B,2,FALSE()),"")</f>
        <v>45949.5</v>
      </c>
      <c r="D65" s="15" t="n">
        <f aca="false">IF(C65="","",INT(C65-B65))</f>
        <v>5</v>
      </c>
      <c r="E65" s="17" t="n">
        <f aca="false">'Internal Transactions'!C65</f>
        <v>2372.44</v>
      </c>
      <c r="F65" s="17" t="n">
        <f aca="false">IFERROR(VLOOKUP(A65,'Bank Statement'!A:C,3,FALSE()),"")</f>
        <v>2372.44</v>
      </c>
      <c r="G65" s="17" t="n">
        <f aca="false">IF(F65="","",ABS(F65-E65))</f>
        <v>0</v>
      </c>
      <c r="H65" s="15" t="str">
        <f aca="false">'Internal Transactions'!H65</f>
        <v>Decathlon Webshop</v>
      </c>
      <c r="I65" s="15" t="str">
        <f aca="false">IFERROR(VLOOKUP(A65,'Bank Statement'!A:G,7,FALSE()),"")</f>
        <v>Decathlon Webshop</v>
      </c>
      <c r="J65" s="15" t="str">
        <f aca="false">IF(I65="","N/A",IF(Settings!$C$10="FALSE",IF(EXACT(UPPER(H65),UPPER(I65)),"Exact","No"),IF(EXACT(UPPER(H65),UPPER(I65)),"Exact",IF(ISNUMBER(SEARCH(LEFT(H65,FIND(" ",H65&amp;" ")-1),I65)),"Fuzzy",IF(ISNUMBER(SEARCH(SUBSTITUTE(H65," ",""),SUBSTITUTE(I65," ",""))),"Fuzzy","No")))))</f>
        <v>Exact</v>
      </c>
      <c r="K65" s="15" t="str">
        <f aca="false">IF(D65="","N/A",IF(AND(D65&gt;=0,D65&lt;=Settings!$C$6),"Yes","OUT OF WINDOW"))</f>
        <v>OUT OF WINDOW</v>
      </c>
      <c r="L65" s="15" t="str">
        <f aca="false">IF(F65="","❌ Missing in Bank",IF(G65&gt;Settings!$C$7,"⚠ Amount Mismatch",IF(K65="OUT OF WINDOW","⏰ Late Settlement",IF(J65="No","⚠ Reference Mismatch","✅ Matched"))))</f>
        <v>⏰ Late Settlement</v>
      </c>
    </row>
    <row r="66" customFormat="false" ht="15" hidden="false" customHeight="false" outlineLevel="0" collapsed="false">
      <c r="A66" s="15" t="str">
        <f aca="false">'Internal Transactions'!A66</f>
        <v>SEPA-2025-1064</v>
      </c>
      <c r="B66" s="18" t="n">
        <f aca="false">'Internal Transactions'!B66</f>
        <v>45947.375</v>
      </c>
      <c r="C66" s="18" t="str">
        <f aca="false">IFERROR(VLOOKUP(A66,'Bank Statement'!A:B,2,FALSE()),"")</f>
        <v/>
      </c>
      <c r="D66" s="15" t="str">
        <f aca="false">IF(C66="","",INT(C66-B66))</f>
        <v/>
      </c>
      <c r="E66" s="17" t="n">
        <f aca="false">'Internal Transactions'!C66</f>
        <v>1668.9</v>
      </c>
      <c r="F66" s="17" t="str">
        <f aca="false">IFERROR(VLOOKUP(A66,'Bank Statement'!A:C,3,FALSE()),"")</f>
        <v/>
      </c>
      <c r="G66" s="17" t="str">
        <f aca="false">IF(F66="","",ABS(F66-E66))</f>
        <v/>
      </c>
      <c r="H66" s="15" t="str">
        <f aca="false">'Internal Transactions'!H66</f>
        <v>ING Maandelijks</v>
      </c>
      <c r="I66" s="15" t="str">
        <f aca="false">IFERROR(VLOOKUP(A66,'Bank Statement'!A:G,7,FALSE()),"")</f>
        <v/>
      </c>
      <c r="J66" s="15" t="str">
        <f aca="false">IF(I66="","N/A",IF(Settings!$C$10="FALSE",IF(EXACT(UPPER(H66),UPPER(I66)),"Exact","No"),IF(EXACT(UPPER(H66),UPPER(I66)),"Exact",IF(ISNUMBER(SEARCH(LEFT(H66,FIND(" ",H66&amp;" ")-1),I66)),"Fuzzy",IF(ISNUMBER(SEARCH(SUBSTITUTE(H66," ",""),SUBSTITUTE(I66," ",""))),"Fuzzy","No")))))</f>
        <v>N/A</v>
      </c>
      <c r="K66" s="15" t="str">
        <f aca="false">IF(D66="","N/A",IF(AND(D66&gt;=0,D66&lt;=Settings!$C$6),"Yes","OUT OF WINDOW"))</f>
        <v>N/A</v>
      </c>
      <c r="L66" s="15" t="str">
        <f aca="false">IF(F66="","❌ Missing in Bank",IF(G66&gt;Settings!$C$7,"⚠ Amount Mismatch",IF(K66="OUT OF WINDOW","⏰ Late Settlement",IF(J66="No","⚠ Reference Mismatch","✅ Matched"))))</f>
        <v>❌ Missing in Bank</v>
      </c>
    </row>
    <row r="67" customFormat="false" ht="15" hidden="false" customHeight="false" outlineLevel="0" collapsed="false">
      <c r="A67" s="15" t="str">
        <f aca="false">'Internal Transactions'!A67</f>
        <v>SEPA-2025-1065</v>
      </c>
      <c r="B67" s="18" t="n">
        <f aca="false">'Internal Transactions'!B67</f>
        <v>45935.25</v>
      </c>
      <c r="C67" s="18" t="n">
        <f aca="false">IFERROR(VLOOKUP(A67,'Bank Statement'!A:B,2,FALSE()),"")</f>
        <v>45940.625</v>
      </c>
      <c r="D67" s="15" t="n">
        <f aca="false">IF(C67="","",INT(C67-B67))</f>
        <v>5</v>
      </c>
      <c r="E67" s="17" t="n">
        <f aca="false">'Internal Transactions'!C67</f>
        <v>1054.01</v>
      </c>
      <c r="F67" s="17" t="n">
        <f aca="false">IFERROR(VLOOKUP(A67,'Bank Statement'!A:C,3,FALSE()),"")</f>
        <v>1054.01</v>
      </c>
      <c r="G67" s="17" t="n">
        <f aca="false">IF(F67="","",ABS(F67-E67))</f>
        <v>0</v>
      </c>
      <c r="H67" s="15" t="str">
        <f aca="false">'Internal Transactions'!H67</f>
        <v>Eneco Energy</v>
      </c>
      <c r="I67" s="15" t="str">
        <f aca="false">IFERROR(VLOOKUP(A67,'Bank Statement'!A:G,7,FALSE()),"")</f>
        <v>Eneco Energy</v>
      </c>
      <c r="J67" s="15" t="str">
        <f aca="false">IF(I67="","N/A",IF(Settings!$C$10="FALSE",IF(EXACT(UPPER(H67),UPPER(I67)),"Exact","No"),IF(EXACT(UPPER(H67),UPPER(I67)),"Exact",IF(ISNUMBER(SEARCH(LEFT(H67,FIND(" ",H67&amp;" ")-1),I67)),"Fuzzy",IF(ISNUMBER(SEARCH(SUBSTITUTE(H67," ",""),SUBSTITUTE(I67," ",""))),"Fuzzy","No")))))</f>
        <v>Exact</v>
      </c>
      <c r="K67" s="15" t="str">
        <f aca="false">IF(D67="","N/A",IF(AND(D67&gt;=0,D67&lt;=Settings!$C$6),"Yes","OUT OF WINDOW"))</f>
        <v>OUT OF WINDOW</v>
      </c>
      <c r="L67" s="15" t="str">
        <f aca="false">IF(F67="","❌ Missing in Bank",IF(G67&gt;Settings!$C$7,"⚠ Amount Mismatch",IF(K67="OUT OF WINDOW","⏰ Late Settlement",IF(J67="No","⚠ Reference Mismatch","✅ Matched"))))</f>
        <v>⏰ Late Settlement</v>
      </c>
    </row>
    <row r="68" customFormat="false" ht="15" hidden="false" customHeight="false" outlineLevel="0" collapsed="false">
      <c r="A68" s="15" t="str">
        <f aca="false">'Internal Transactions'!A68</f>
        <v>SEPA-2025-1066</v>
      </c>
      <c r="B68" s="18" t="n">
        <f aca="false">'Internal Transactions'!B68</f>
        <v>45949.375</v>
      </c>
      <c r="C68" s="18" t="n">
        <f aca="false">IFERROR(VLOOKUP(A68,'Bank Statement'!A:B,2,FALSE()),"")</f>
        <v>45951.5</v>
      </c>
      <c r="D68" s="15" t="n">
        <f aca="false">IF(C68="","",INT(C68-B68))</f>
        <v>2</v>
      </c>
      <c r="E68" s="17" t="n">
        <f aca="false">'Internal Transactions'!C68</f>
        <v>1018.16</v>
      </c>
      <c r="F68" s="17" t="n">
        <f aca="false">IFERROR(VLOOKUP(A68,'Bank Statement'!A:C,3,FALSE()),"")</f>
        <v>1018.16</v>
      </c>
      <c r="G68" s="17" t="n">
        <f aca="false">IF(F68="","",ABS(F68-E68))</f>
        <v>0</v>
      </c>
      <c r="H68" s="15" t="str">
        <f aca="false">'Internal Transactions'!H68</f>
        <v>Albert Heijn Bezorging</v>
      </c>
      <c r="I68" s="15" t="str">
        <f aca="false">IFERROR(VLOOKUP(A68,'Bank Statement'!A:G,7,FALSE()),"")</f>
        <v>Albert Heijn Bezorging</v>
      </c>
      <c r="J68" s="15" t="str">
        <f aca="false">IF(I68="","N/A",IF(Settings!$C$10="FALSE",IF(EXACT(UPPER(H68),UPPER(I68)),"Exact","No"),IF(EXACT(UPPER(H68),UPPER(I68)),"Exact",IF(ISNUMBER(SEARCH(LEFT(H68,FIND(" ",H68&amp;" ")-1),I68)),"Fuzzy",IF(ISNUMBER(SEARCH(SUBSTITUTE(H68," ",""),SUBSTITUTE(I68," ",""))),"Fuzzy","No")))))</f>
        <v>Exact</v>
      </c>
      <c r="K68" s="15" t="str">
        <f aca="false">IF(D68="","N/A",IF(AND(D68&gt;=0,D68&lt;=Settings!$C$6),"Yes","OUT OF WINDOW"))</f>
        <v>Yes</v>
      </c>
      <c r="L68" s="15" t="str">
        <f aca="false">IF(F68="","❌ Missing in Bank",IF(G68&gt;Settings!$C$7,"⚠ Amount Mismatch",IF(K68="OUT OF WINDOW","⏰ Late Settlement",IF(J68="No","⚠ Reference Mismatch","✅ Matched"))))</f>
        <v>✅ Matched</v>
      </c>
    </row>
    <row r="69" customFormat="false" ht="15" hidden="false" customHeight="false" outlineLevel="0" collapsed="false">
      <c r="A69" s="15" t="str">
        <f aca="false">'Internal Transactions'!A69</f>
        <v>SEPA-2025-1067</v>
      </c>
      <c r="B69" s="18" t="n">
        <f aca="false">'Internal Transactions'!B69</f>
        <v>45956.75</v>
      </c>
      <c r="C69" s="18" t="n">
        <f aca="false">IFERROR(VLOOKUP(A69,'Bank Statement'!A:B,2,FALSE()),"")</f>
        <v>45959.1666666667</v>
      </c>
      <c r="D69" s="15" t="n">
        <f aca="false">IF(C69="","",INT(C69-B69))</f>
        <v>2</v>
      </c>
      <c r="E69" s="17" t="n">
        <f aca="false">'Internal Transactions'!C69</f>
        <v>1518.62</v>
      </c>
      <c r="F69" s="17" t="n">
        <f aca="false">IFERROR(VLOOKUP(A69,'Bank Statement'!A:C,3,FALSE()),"")</f>
        <v>1518.62</v>
      </c>
      <c r="G69" s="17" t="n">
        <f aca="false">IF(F69="","",ABS(F69-E69))</f>
        <v>0</v>
      </c>
      <c r="H69" s="15" t="str">
        <f aca="false">'Internal Transactions'!H69</f>
        <v>KPN Telecom</v>
      </c>
      <c r="I69" s="15" t="str">
        <f aca="false">IFERROR(VLOOKUP(A69,'Bank Statement'!A:G,7,FALSE()),"")</f>
        <v>KPN Telecom</v>
      </c>
      <c r="J69" s="15" t="str">
        <f aca="false">IF(I69="","N/A",IF(Settings!$C$10="FALSE",IF(EXACT(UPPER(H69),UPPER(I69)),"Exact","No"),IF(EXACT(UPPER(H69),UPPER(I69)),"Exact",IF(ISNUMBER(SEARCH(LEFT(H69,FIND(" ",H69&amp;" ")-1),I69)),"Fuzzy",IF(ISNUMBER(SEARCH(SUBSTITUTE(H69," ",""),SUBSTITUTE(I69," ",""))),"Fuzzy","No")))))</f>
        <v>Exact</v>
      </c>
      <c r="K69" s="15" t="str">
        <f aca="false">IF(D69="","N/A",IF(AND(D69&gt;=0,D69&lt;=Settings!$C$6),"Yes","OUT OF WINDOW"))</f>
        <v>Yes</v>
      </c>
      <c r="L69" s="15" t="str">
        <f aca="false">IF(F69="","❌ Missing in Bank",IF(G69&gt;Settings!$C$7,"⚠ Amount Mismatch",IF(K69="OUT OF WINDOW","⏰ Late Settlement",IF(J69="No","⚠ Reference Mismatch","✅ Matched"))))</f>
        <v>✅ Matched</v>
      </c>
    </row>
    <row r="70" customFormat="false" ht="15" hidden="false" customHeight="false" outlineLevel="0" collapsed="false">
      <c r="A70" s="15" t="str">
        <f aca="false">'Internal Transactions'!A70</f>
        <v>SEPA-2025-1068</v>
      </c>
      <c r="B70" s="18" t="n">
        <f aca="false">'Internal Transactions'!B70</f>
        <v>45947.625</v>
      </c>
      <c r="C70" s="18" t="n">
        <f aca="false">IFERROR(VLOOKUP(A70,'Bank Statement'!A:B,2,FALSE()),"")</f>
        <v>45948.6666666667</v>
      </c>
      <c r="D70" s="15" t="n">
        <f aca="false">IF(C70="","",INT(C70-B70))</f>
        <v>1</v>
      </c>
      <c r="E70" s="17" t="n">
        <f aca="false">'Internal Transactions'!C70</f>
        <v>1985.37</v>
      </c>
      <c r="F70" s="17" t="n">
        <f aca="false">IFERROR(VLOOKUP(A70,'Bank Statement'!A:C,3,FALSE()),"")</f>
        <v>1985.37</v>
      </c>
      <c r="G70" s="17" t="n">
        <f aca="false">IF(F70="","",ABS(F70-E70))</f>
        <v>0</v>
      </c>
      <c r="H70" s="15" t="str">
        <f aca="false">'Internal Transactions'!H70</f>
        <v>Wehkamp</v>
      </c>
      <c r="I70" s="15" t="str">
        <f aca="false">IFERROR(VLOOKUP(A70,'Bank Statement'!A:G,7,FALSE()),"")</f>
        <v>Wehkamp</v>
      </c>
      <c r="J70" s="15" t="str">
        <f aca="false">IF(I70="","N/A",IF(Settings!$C$10="FALSE",IF(EXACT(UPPER(H70),UPPER(I70)),"Exact","No"),IF(EXACT(UPPER(H70),UPPER(I70)),"Exact",IF(ISNUMBER(SEARCH(LEFT(H70,FIND(" ",H70&amp;" ")-1),I70)),"Fuzzy",IF(ISNUMBER(SEARCH(SUBSTITUTE(H70," ",""),SUBSTITUTE(I70," ",""))),"Fuzzy","No")))))</f>
        <v>Exact</v>
      </c>
      <c r="K70" s="15" t="str">
        <f aca="false">IF(D70="","N/A",IF(AND(D70&gt;=0,D70&lt;=Settings!$C$6),"Yes","OUT OF WINDOW"))</f>
        <v>Yes</v>
      </c>
      <c r="L70" s="15" t="str">
        <f aca="false">IF(F70="","❌ Missing in Bank",IF(G70&gt;Settings!$C$7,"⚠ Amount Mismatch",IF(K70="OUT OF WINDOW","⏰ Late Settlement",IF(J70="No","⚠ Reference Mismatch","✅ Matched"))))</f>
        <v>✅ Matched</v>
      </c>
    </row>
    <row r="71" customFormat="false" ht="15" hidden="false" customHeight="false" outlineLevel="0" collapsed="false">
      <c r="A71" s="15" t="str">
        <f aca="false">'Internal Transactions'!A71</f>
        <v>SEPA-2025-1069</v>
      </c>
      <c r="B71" s="18" t="n">
        <f aca="false">'Internal Transactions'!B71</f>
        <v>45952.8333333333</v>
      </c>
      <c r="C71" s="18" t="n">
        <f aca="false">IFERROR(VLOOKUP(A71,'Bank Statement'!A:B,2,FALSE()),"")</f>
        <v>45954.2083333333</v>
      </c>
      <c r="D71" s="15" t="n">
        <f aca="false">IF(C71="","",INT(C71-B71))</f>
        <v>1</v>
      </c>
      <c r="E71" s="17" t="n">
        <f aca="false">'Internal Transactions'!C71</f>
        <v>1550.06</v>
      </c>
      <c r="F71" s="17" t="n">
        <f aca="false">IFERROR(VLOOKUP(A71,'Bank Statement'!A:C,3,FALSE()),"")</f>
        <v>1550.06</v>
      </c>
      <c r="G71" s="17" t="n">
        <f aca="false">IF(F71="","",ABS(F71-E71))</f>
        <v>0</v>
      </c>
      <c r="H71" s="15" t="str">
        <f aca="false">'Internal Transactions'!H71</f>
        <v>Decathlon Webshop</v>
      </c>
      <c r="I71" s="15" t="str">
        <f aca="false">IFERROR(VLOOKUP(A71,'Bank Statement'!A:G,7,FALSE()),"")</f>
        <v>Decathlon Webshop</v>
      </c>
      <c r="J71" s="15" t="str">
        <f aca="false">IF(I71="","N/A",IF(Settings!$C$10="FALSE",IF(EXACT(UPPER(H71),UPPER(I71)),"Exact","No"),IF(EXACT(UPPER(H71),UPPER(I71)),"Exact",IF(ISNUMBER(SEARCH(LEFT(H71,FIND(" ",H71&amp;" ")-1),I71)),"Fuzzy",IF(ISNUMBER(SEARCH(SUBSTITUTE(H71," ",""),SUBSTITUTE(I71," ",""))),"Fuzzy","No")))))</f>
        <v>Exact</v>
      </c>
      <c r="K71" s="15" t="str">
        <f aca="false">IF(D71="","N/A",IF(AND(D71&gt;=0,D71&lt;=Settings!$C$6),"Yes","OUT OF WINDOW"))</f>
        <v>Yes</v>
      </c>
      <c r="L71" s="15" t="str">
        <f aca="false">IF(F71="","❌ Missing in Bank",IF(G71&gt;Settings!$C$7,"⚠ Amount Mismatch",IF(K71="OUT OF WINDOW","⏰ Late Settlement",IF(J71="No","⚠ Reference Mismatch","✅ Matched"))))</f>
        <v>✅ Matched</v>
      </c>
    </row>
    <row r="72" customFormat="false" ht="15" hidden="false" customHeight="false" outlineLevel="0" collapsed="false">
      <c r="A72" s="15" t="str">
        <f aca="false">'Internal Transactions'!A72</f>
        <v>SEPA-2025-1070</v>
      </c>
      <c r="B72" s="18" t="n">
        <f aca="false">'Internal Transactions'!B72</f>
        <v>45938.25</v>
      </c>
      <c r="C72" s="18" t="n">
        <f aca="false">IFERROR(VLOOKUP(A72,'Bank Statement'!A:B,2,FALSE()),"")</f>
        <v>45939.5</v>
      </c>
      <c r="D72" s="15" t="n">
        <f aca="false">IF(C72="","",INT(C72-B72))</f>
        <v>1</v>
      </c>
      <c r="E72" s="17" t="n">
        <f aca="false">'Internal Transactions'!C72</f>
        <v>372.65</v>
      </c>
      <c r="F72" s="17" t="n">
        <f aca="false">IFERROR(VLOOKUP(A72,'Bank Statement'!A:C,3,FALSE()),"")</f>
        <v>372.65</v>
      </c>
      <c r="G72" s="17" t="n">
        <f aca="false">IF(F72="","",ABS(F72-E72))</f>
        <v>0</v>
      </c>
      <c r="H72" s="15" t="str">
        <f aca="false">'Internal Transactions'!H72</f>
        <v>Coolblue Returns</v>
      </c>
      <c r="I72" s="15" t="str">
        <f aca="false">IFERROR(VLOOKUP(A72,'Bank Statement'!A:G,7,FALSE()),"")</f>
        <v>Coolblue Returns - REF3165</v>
      </c>
      <c r="J72" s="15" t="str">
        <f aca="false">IF(I72="","N/A",IF(Settings!$C$10="FALSE",IF(EXACT(UPPER(H72),UPPER(I72)),"Exact","No"),IF(EXACT(UPPER(H72),UPPER(I72)),"Exact",IF(ISNUMBER(SEARCH(LEFT(H72,FIND(" ",H72&amp;" ")-1),I72)),"Fuzzy",IF(ISNUMBER(SEARCH(SUBSTITUTE(H72," ",""),SUBSTITUTE(I72," ",""))),"Fuzzy","No")))))</f>
        <v>Fuzzy</v>
      </c>
      <c r="K72" s="15" t="str">
        <f aca="false">IF(D72="","N/A",IF(AND(D72&gt;=0,D72&lt;=Settings!$C$6),"Yes","OUT OF WINDOW"))</f>
        <v>Yes</v>
      </c>
      <c r="L72" s="15" t="str">
        <f aca="false">IF(F72="","❌ Missing in Bank",IF(G72&gt;Settings!$C$7,"⚠ Amount Mismatch",IF(K72="OUT OF WINDOW","⏰ Late Settlement",IF(J72="No","⚠ Reference Mismatch","✅ Matched"))))</f>
        <v>✅ Matched</v>
      </c>
    </row>
    <row r="73" customFormat="false" ht="15" hidden="false" customHeight="false" outlineLevel="0" collapsed="false">
      <c r="A73" s="15" t="str">
        <f aca="false">'Internal Transactions'!A73</f>
        <v>SEPA-2025-1071</v>
      </c>
      <c r="B73" s="18" t="n">
        <f aca="false">'Internal Transactions'!B73</f>
        <v>45944.8333333333</v>
      </c>
      <c r="C73" s="18" t="n">
        <f aca="false">IFERROR(VLOOKUP(A73,'Bank Statement'!A:B,2,FALSE()),"")</f>
        <v>45947</v>
      </c>
      <c r="D73" s="15" t="n">
        <f aca="false">IF(C73="","",INT(C73-B73))</f>
        <v>2</v>
      </c>
      <c r="E73" s="17" t="n">
        <f aca="false">'Internal Transactions'!C73</f>
        <v>1441.3</v>
      </c>
      <c r="F73" s="17" t="n">
        <f aca="false">IFERROR(VLOOKUP(A73,'Bank Statement'!A:C,3,FALSE()),"")</f>
        <v>1441.3</v>
      </c>
      <c r="G73" s="17" t="n">
        <f aca="false">IF(F73="","",ABS(F73-E73))</f>
        <v>0</v>
      </c>
      <c r="H73" s="15" t="str">
        <f aca="false">'Internal Transactions'!H73</f>
        <v>Spotify Subscription</v>
      </c>
      <c r="I73" s="15" t="str">
        <f aca="false">IFERROR(VLOOKUP(A73,'Bank Statement'!A:G,7,FALSE()),"")</f>
        <v>Spotify Subscription</v>
      </c>
      <c r="J73" s="15" t="str">
        <f aca="false">IF(I73="","N/A",IF(Settings!$C$10="FALSE",IF(EXACT(UPPER(H73),UPPER(I73)),"Exact","No"),IF(EXACT(UPPER(H73),UPPER(I73)),"Exact",IF(ISNUMBER(SEARCH(LEFT(H73,FIND(" ",H73&amp;" ")-1),I73)),"Fuzzy",IF(ISNUMBER(SEARCH(SUBSTITUTE(H73," ",""),SUBSTITUTE(I73," ",""))),"Fuzzy","No")))))</f>
        <v>Exact</v>
      </c>
      <c r="K73" s="15" t="str">
        <f aca="false">IF(D73="","N/A",IF(AND(D73&gt;=0,D73&lt;=Settings!$C$6),"Yes","OUT OF WINDOW"))</f>
        <v>Yes</v>
      </c>
      <c r="L73" s="15" t="str">
        <f aca="false">IF(F73="","❌ Missing in Bank",IF(G73&gt;Settings!$C$7,"⚠ Amount Mismatch",IF(K73="OUT OF WINDOW","⏰ Late Settlement",IF(J73="No","⚠ Reference Mismatch","✅ Matched"))))</f>
        <v>✅ Matched</v>
      </c>
    </row>
    <row r="74" customFormat="false" ht="15" hidden="false" customHeight="false" outlineLevel="0" collapsed="false">
      <c r="A74" s="15" t="str">
        <f aca="false">'Internal Transactions'!A74</f>
        <v>SEPA-2025-1072</v>
      </c>
      <c r="B74" s="18" t="n">
        <f aca="false">'Internal Transactions'!B74</f>
        <v>45951.9166666667</v>
      </c>
      <c r="C74" s="18" t="n">
        <f aca="false">IFERROR(VLOOKUP(A74,'Bank Statement'!A:B,2,FALSE()),"")</f>
        <v>45953.4166666667</v>
      </c>
      <c r="D74" s="15" t="n">
        <f aca="false">IF(C74="","",INT(C74-B74))</f>
        <v>1</v>
      </c>
      <c r="E74" s="17" t="n">
        <f aca="false">'Internal Transactions'!C74</f>
        <v>18.83</v>
      </c>
      <c r="F74" s="17" t="n">
        <f aca="false">IFERROR(VLOOKUP(A74,'Bank Statement'!A:C,3,FALSE()),"")</f>
        <v>18.83</v>
      </c>
      <c r="G74" s="17" t="n">
        <f aca="false">IF(F74="","",ABS(F74-E74))</f>
        <v>0</v>
      </c>
      <c r="H74" s="15" t="str">
        <f aca="false">'Internal Transactions'!H74</f>
        <v>Booking.com Reservation</v>
      </c>
      <c r="I74" s="15" t="str">
        <f aca="false">IFERROR(VLOOKUP(A74,'Bank Statement'!A:G,7,FALSE()),"")</f>
        <v>BOOKING.COM RESERVATION</v>
      </c>
      <c r="J74" s="15" t="str">
        <f aca="false">IF(I74="","N/A",IF(Settings!$C$10="FALSE",IF(EXACT(UPPER(H74),UPPER(I74)),"Exact","No"),IF(EXACT(UPPER(H74),UPPER(I74)),"Exact",IF(ISNUMBER(SEARCH(LEFT(H74,FIND(" ",H74&amp;" ")-1),I74)),"Fuzzy",IF(ISNUMBER(SEARCH(SUBSTITUTE(H74," ",""),SUBSTITUTE(I74," ",""))),"Fuzzy","No")))))</f>
        <v>Exact</v>
      </c>
      <c r="K74" s="15" t="str">
        <f aca="false">IF(D74="","N/A",IF(AND(D74&gt;=0,D74&lt;=Settings!$C$6),"Yes","OUT OF WINDOW"))</f>
        <v>Yes</v>
      </c>
      <c r="L74" s="15" t="str">
        <f aca="false">IF(F74="","❌ Missing in Bank",IF(G74&gt;Settings!$C$7,"⚠ Amount Mismatch",IF(K74="OUT OF WINDOW","⏰ Late Settlement",IF(J74="No","⚠ Reference Mismatch","✅ Matched"))))</f>
        <v>✅ Matched</v>
      </c>
    </row>
    <row r="75" customFormat="false" ht="15" hidden="false" customHeight="false" outlineLevel="0" collapsed="false">
      <c r="A75" s="15" t="str">
        <f aca="false">'Internal Transactions'!A75</f>
        <v>SEPA-2025-1073</v>
      </c>
      <c r="B75" s="18" t="n">
        <f aca="false">'Internal Transactions'!B75</f>
        <v>45956.9166666667</v>
      </c>
      <c r="C75" s="18" t="n">
        <f aca="false">IFERROR(VLOOKUP(A75,'Bank Statement'!A:B,2,FALSE()),"")</f>
        <v>45959.0416666667</v>
      </c>
      <c r="D75" s="15" t="n">
        <f aca="false">IF(C75="","",INT(C75-B75))</f>
        <v>2</v>
      </c>
      <c r="E75" s="17" t="n">
        <f aca="false">'Internal Transactions'!C75</f>
        <v>1297.3</v>
      </c>
      <c r="F75" s="17" t="n">
        <f aca="false">IFERROR(VLOOKUP(A75,'Bank Statement'!A:C,3,FALSE()),"")</f>
        <v>1297.3</v>
      </c>
      <c r="G75" s="17" t="n">
        <f aca="false">IF(F75="","",ABS(F75-E75))</f>
        <v>0</v>
      </c>
      <c r="H75" s="15" t="str">
        <f aca="false">'Internal Transactions'!H75</f>
        <v>Coolblue Returns</v>
      </c>
      <c r="I75" s="15" t="str">
        <f aca="false">IFERROR(VLOOKUP(A75,'Bank Statement'!A:G,7,FALSE()),"")</f>
        <v>Coolblue Returns</v>
      </c>
      <c r="J75" s="15" t="str">
        <f aca="false">IF(I75="","N/A",IF(Settings!$C$10="FALSE",IF(EXACT(UPPER(H75),UPPER(I75)),"Exact","No"),IF(EXACT(UPPER(H75),UPPER(I75)),"Exact",IF(ISNUMBER(SEARCH(LEFT(H75,FIND(" ",H75&amp;" ")-1),I75)),"Fuzzy",IF(ISNUMBER(SEARCH(SUBSTITUTE(H75," ",""),SUBSTITUTE(I75," ",""))),"Fuzzy","No")))))</f>
        <v>Exact</v>
      </c>
      <c r="K75" s="15" t="str">
        <f aca="false">IF(D75="","N/A",IF(AND(D75&gt;=0,D75&lt;=Settings!$C$6),"Yes","OUT OF WINDOW"))</f>
        <v>Yes</v>
      </c>
      <c r="L75" s="15" t="str">
        <f aca="false">IF(F75="","❌ Missing in Bank",IF(G75&gt;Settings!$C$7,"⚠ Amount Mismatch",IF(K75="OUT OF WINDOW","⏰ Late Settlement",IF(J75="No","⚠ Reference Mismatch","✅ Matched"))))</f>
        <v>✅ Matched</v>
      </c>
    </row>
    <row r="76" customFormat="false" ht="15" hidden="false" customHeight="false" outlineLevel="0" collapsed="false">
      <c r="A76" s="15" t="str">
        <f aca="false">'Internal Transactions'!A76</f>
        <v>SEPA-2025-1074</v>
      </c>
      <c r="B76" s="18" t="n">
        <f aca="false">'Internal Transactions'!B76</f>
        <v>45935.5833333333</v>
      </c>
      <c r="C76" s="18" t="n">
        <f aca="false">IFERROR(VLOOKUP(A76,'Bank Statement'!A:B,2,FALSE()),"")</f>
        <v>45941.0833333333</v>
      </c>
      <c r="D76" s="15" t="n">
        <f aca="false">IF(C76="","",INT(C76-B76))</f>
        <v>5</v>
      </c>
      <c r="E76" s="17" t="n">
        <f aca="false">'Internal Transactions'!C76</f>
        <v>1670.61</v>
      </c>
      <c r="F76" s="17" t="n">
        <f aca="false">IFERROR(VLOOKUP(A76,'Bank Statement'!A:C,3,FALSE()),"")</f>
        <v>1670.61</v>
      </c>
      <c r="G76" s="17" t="n">
        <f aca="false">IF(F76="","",ABS(F76-E76))</f>
        <v>0</v>
      </c>
      <c r="H76" s="15" t="str">
        <f aca="false">'Internal Transactions'!H76</f>
        <v>Eneco Energy</v>
      </c>
      <c r="I76" s="15" t="str">
        <f aca="false">IFERROR(VLOOKUP(A76,'Bank Statement'!A:G,7,FALSE()),"")</f>
        <v>Eneco Energy</v>
      </c>
      <c r="J76" s="15" t="str">
        <f aca="false">IF(I76="","N/A",IF(Settings!$C$10="FALSE",IF(EXACT(UPPER(H76),UPPER(I76)),"Exact","No"),IF(EXACT(UPPER(H76),UPPER(I76)),"Exact",IF(ISNUMBER(SEARCH(LEFT(H76,FIND(" ",H76&amp;" ")-1),I76)),"Fuzzy",IF(ISNUMBER(SEARCH(SUBSTITUTE(H76," ",""),SUBSTITUTE(I76," ",""))),"Fuzzy","No")))))</f>
        <v>Exact</v>
      </c>
      <c r="K76" s="15" t="str">
        <f aca="false">IF(D76="","N/A",IF(AND(D76&gt;=0,D76&lt;=Settings!$C$6),"Yes","OUT OF WINDOW"))</f>
        <v>OUT OF WINDOW</v>
      </c>
      <c r="L76" s="15" t="str">
        <f aca="false">IF(F76="","❌ Missing in Bank",IF(G76&gt;Settings!$C$7,"⚠ Amount Mismatch",IF(K76="OUT OF WINDOW","⏰ Late Settlement",IF(J76="No","⚠ Reference Mismatch","✅ Matched"))))</f>
        <v>⏰ Late Settlement</v>
      </c>
    </row>
    <row r="77" customFormat="false" ht="15" hidden="false" customHeight="false" outlineLevel="0" collapsed="false">
      <c r="A77" s="15" t="str">
        <f aca="false">'Internal Transactions'!A77</f>
        <v>SEPA-2025-1075</v>
      </c>
      <c r="B77" s="18" t="n">
        <f aca="false">'Internal Transactions'!B77</f>
        <v>45957.9583333333</v>
      </c>
      <c r="C77" s="18" t="n">
        <f aca="false">IFERROR(VLOOKUP(A77,'Bank Statement'!A:B,2,FALSE()),"")</f>
        <v>45959</v>
      </c>
      <c r="D77" s="15" t="n">
        <f aca="false">IF(C77="","",INT(C77-B77))</f>
        <v>1</v>
      </c>
      <c r="E77" s="17" t="n">
        <f aca="false">'Internal Transactions'!C77</f>
        <v>2230.59</v>
      </c>
      <c r="F77" s="17" t="n">
        <f aca="false">IFERROR(VLOOKUP(A77,'Bank Statement'!A:C,3,FALSE()),"")</f>
        <v>2230.59</v>
      </c>
      <c r="G77" s="17" t="n">
        <f aca="false">IF(F77="","",ABS(F77-E77))</f>
        <v>0</v>
      </c>
      <c r="H77" s="15" t="str">
        <f aca="false">'Internal Transactions'!H77</f>
        <v>Booking.com Reservation</v>
      </c>
      <c r="I77" s="15" t="str">
        <f aca="false">IFERROR(VLOOKUP(A77,'Bank Statement'!A:G,7,FALSE()),"")</f>
        <v>Booking.com Reservation</v>
      </c>
      <c r="J77" s="15" t="str">
        <f aca="false">IF(I77="","N/A",IF(Settings!$C$10="FALSE",IF(EXACT(UPPER(H77),UPPER(I77)),"Exact","No"),IF(EXACT(UPPER(H77),UPPER(I77)),"Exact",IF(ISNUMBER(SEARCH(LEFT(H77,FIND(" ",H77&amp;" ")-1),I77)),"Fuzzy",IF(ISNUMBER(SEARCH(SUBSTITUTE(H77," ",""),SUBSTITUTE(I77," ",""))),"Fuzzy","No")))))</f>
        <v>Exact</v>
      </c>
      <c r="K77" s="15" t="str">
        <f aca="false">IF(D77="","N/A",IF(AND(D77&gt;=0,D77&lt;=Settings!$C$6),"Yes","OUT OF WINDOW"))</f>
        <v>Yes</v>
      </c>
      <c r="L77" s="15" t="str">
        <f aca="false">IF(F77="","❌ Missing in Bank",IF(G77&gt;Settings!$C$7,"⚠ Amount Mismatch",IF(K77="OUT OF WINDOW","⏰ Late Settlement",IF(J77="No","⚠ Reference Mismatch","✅ Matched"))))</f>
        <v>✅ Matched</v>
      </c>
    </row>
    <row r="78" customFormat="false" ht="15" hidden="false" customHeight="false" outlineLevel="0" collapsed="false">
      <c r="A78" s="15" t="str">
        <f aca="false">'Internal Transactions'!A78</f>
        <v>SEPA-2025-1076</v>
      </c>
      <c r="B78" s="18" t="n">
        <f aca="false">'Internal Transactions'!B78</f>
        <v>45954.625</v>
      </c>
      <c r="C78" s="18" t="n">
        <f aca="false">IFERROR(VLOOKUP(A78,'Bank Statement'!A:B,2,FALSE()),"")</f>
        <v>45957.0416666667</v>
      </c>
      <c r="D78" s="15" t="n">
        <f aca="false">IF(C78="","",INT(C78-B78))</f>
        <v>2</v>
      </c>
      <c r="E78" s="17" t="n">
        <f aca="false">'Internal Transactions'!C78</f>
        <v>1127.92</v>
      </c>
      <c r="F78" s="17" t="n">
        <f aca="false">IFERROR(VLOOKUP(A78,'Bank Statement'!A:C,3,FALSE()),"")</f>
        <v>1127.92</v>
      </c>
      <c r="G78" s="17" t="n">
        <f aca="false">IF(F78="","",ABS(F78-E78))</f>
        <v>0</v>
      </c>
      <c r="H78" s="15" t="str">
        <f aca="false">'Internal Transactions'!H78</f>
        <v>Zalando NL</v>
      </c>
      <c r="I78" s="15" t="str">
        <f aca="false">IFERROR(VLOOKUP(A78,'Bank Statement'!A:G,7,FALSE()),"")</f>
        <v>Zalando NL</v>
      </c>
      <c r="J78" s="15" t="str">
        <f aca="false">IF(I78="","N/A",IF(Settings!$C$10="FALSE",IF(EXACT(UPPER(H78),UPPER(I78)),"Exact","No"),IF(EXACT(UPPER(H78),UPPER(I78)),"Exact",IF(ISNUMBER(SEARCH(LEFT(H78,FIND(" ",H78&amp;" ")-1),I78)),"Fuzzy",IF(ISNUMBER(SEARCH(SUBSTITUTE(H78," ",""),SUBSTITUTE(I78," ",""))),"Fuzzy","No")))))</f>
        <v>Exact</v>
      </c>
      <c r="K78" s="15" t="str">
        <f aca="false">IF(D78="","N/A",IF(AND(D78&gt;=0,D78&lt;=Settings!$C$6),"Yes","OUT OF WINDOW"))</f>
        <v>Yes</v>
      </c>
      <c r="L78" s="15" t="str">
        <f aca="false">IF(F78="","❌ Missing in Bank",IF(G78&gt;Settings!$C$7,"⚠ Amount Mismatch",IF(K78="OUT OF WINDOW","⏰ Late Settlement",IF(J78="No","⚠ Reference Mismatch","✅ Matched"))))</f>
        <v>✅ Matched</v>
      </c>
    </row>
    <row r="79" customFormat="false" ht="15" hidden="false" customHeight="false" outlineLevel="0" collapsed="false">
      <c r="A79" s="15" t="str">
        <f aca="false">'Internal Transactions'!A79</f>
        <v>SEPA-2025-1077</v>
      </c>
      <c r="B79" s="18" t="n">
        <f aca="false">'Internal Transactions'!B79</f>
        <v>45951.2916666667</v>
      </c>
      <c r="C79" s="18" t="n">
        <f aca="false">IFERROR(VLOOKUP(A79,'Bank Statement'!A:B,2,FALSE()),"")</f>
        <v>45951.625</v>
      </c>
      <c r="D79" s="15" t="n">
        <f aca="false">IF(C79="","",INT(C79-B79))</f>
        <v>0</v>
      </c>
      <c r="E79" s="17" t="n">
        <f aca="false">'Internal Transactions'!C79</f>
        <v>690.12</v>
      </c>
      <c r="F79" s="17" t="n">
        <f aca="false">IFERROR(VLOOKUP(A79,'Bank Statement'!A:C,3,FALSE()),"")</f>
        <v>690.12</v>
      </c>
      <c r="G79" s="17" t="n">
        <f aca="false">IF(F79="","",ABS(F79-E79))</f>
        <v>0</v>
      </c>
      <c r="H79" s="15" t="str">
        <f aca="false">'Internal Transactions'!H79</f>
        <v>Lidl Online</v>
      </c>
      <c r="I79" s="15" t="str">
        <f aca="false">IFERROR(VLOOKUP(A79,'Bank Statement'!A:G,7,FALSE()),"")</f>
        <v>Lidl Online</v>
      </c>
      <c r="J79" s="15" t="str">
        <f aca="false">IF(I79="","N/A",IF(Settings!$C$10="FALSE",IF(EXACT(UPPER(H79),UPPER(I79)),"Exact","No"),IF(EXACT(UPPER(H79),UPPER(I79)),"Exact",IF(ISNUMBER(SEARCH(LEFT(H79,FIND(" ",H79&amp;" ")-1),I79)),"Fuzzy",IF(ISNUMBER(SEARCH(SUBSTITUTE(H79," ",""),SUBSTITUTE(I79," ",""))),"Fuzzy","No")))))</f>
        <v>Exact</v>
      </c>
      <c r="K79" s="15" t="str">
        <f aca="false">IF(D79="","N/A",IF(AND(D79&gt;=0,D79&lt;=Settings!$C$6),"Yes","OUT OF WINDOW"))</f>
        <v>Yes</v>
      </c>
      <c r="L79" s="15" t="str">
        <f aca="false">IF(F79="","❌ Missing in Bank",IF(G79&gt;Settings!$C$7,"⚠ Amount Mismatch",IF(K79="OUT OF WINDOW","⏰ Late Settlement",IF(J79="No","⚠ Reference Mismatch","✅ Matched"))))</f>
        <v>✅ Matched</v>
      </c>
    </row>
    <row r="80" customFormat="false" ht="15" hidden="false" customHeight="false" outlineLevel="0" collapsed="false">
      <c r="A80" s="15" t="str">
        <f aca="false">'Internal Transactions'!A80</f>
        <v>SEPA-2025-1078</v>
      </c>
      <c r="B80" s="18" t="n">
        <f aca="false">'Internal Transactions'!B80</f>
        <v>45941.4166666667</v>
      </c>
      <c r="C80" s="18" t="n">
        <f aca="false">IFERROR(VLOOKUP(A80,'Bank Statement'!A:B,2,FALSE()),"")</f>
        <v>45943.7083333333</v>
      </c>
      <c r="D80" s="15" t="n">
        <f aca="false">IF(C80="","",INT(C80-B80))</f>
        <v>2</v>
      </c>
      <c r="E80" s="17" t="n">
        <f aca="false">'Internal Transactions'!C80</f>
        <v>2233.1</v>
      </c>
      <c r="F80" s="17" t="n">
        <f aca="false">IFERROR(VLOOKUP(A80,'Bank Statement'!A:C,3,FALSE()),"")</f>
        <v>2233.1</v>
      </c>
      <c r="G80" s="17" t="n">
        <f aca="false">IF(F80="","",ABS(F80-E80))</f>
        <v>0</v>
      </c>
      <c r="H80" s="15" t="str">
        <f aca="false">'Internal Transactions'!H80</f>
        <v>HEMA Webshop</v>
      </c>
      <c r="I80" s="15" t="str">
        <f aca="false">IFERROR(VLOOKUP(A80,'Bank Statement'!A:G,7,FALSE()),"")</f>
        <v>HEMA Webshop</v>
      </c>
      <c r="J80" s="15" t="str">
        <f aca="false">IF(I80="","N/A",IF(Settings!$C$10="FALSE",IF(EXACT(UPPER(H80),UPPER(I80)),"Exact","No"),IF(EXACT(UPPER(H80),UPPER(I80)),"Exact",IF(ISNUMBER(SEARCH(LEFT(H80,FIND(" ",H80&amp;" ")-1),I80)),"Fuzzy",IF(ISNUMBER(SEARCH(SUBSTITUTE(H80," ",""),SUBSTITUTE(I80," ",""))),"Fuzzy","No")))))</f>
        <v>Exact</v>
      </c>
      <c r="K80" s="15" t="str">
        <f aca="false">IF(D80="","N/A",IF(AND(D80&gt;=0,D80&lt;=Settings!$C$6),"Yes","OUT OF WINDOW"))</f>
        <v>Yes</v>
      </c>
      <c r="L80" s="15" t="str">
        <f aca="false">IF(F80="","❌ Missing in Bank",IF(G80&gt;Settings!$C$7,"⚠ Amount Mismatch",IF(K80="OUT OF WINDOW","⏰ Late Settlement",IF(J80="No","⚠ Reference Mismatch","✅ Matched"))))</f>
        <v>✅ Matched</v>
      </c>
    </row>
    <row r="81" customFormat="false" ht="15" hidden="false" customHeight="false" outlineLevel="0" collapsed="false">
      <c r="A81" s="15" t="str">
        <f aca="false">'Internal Transactions'!A81</f>
        <v>SEPA-2025-1079</v>
      </c>
      <c r="B81" s="18" t="n">
        <f aca="false">'Internal Transactions'!B81</f>
        <v>45953.1666666667</v>
      </c>
      <c r="C81" s="18" t="n">
        <f aca="false">IFERROR(VLOOKUP(A81,'Bank Statement'!A:B,2,FALSE()),"")</f>
        <v>45954.1666666667</v>
      </c>
      <c r="D81" s="15" t="n">
        <f aca="false">IF(C81="","",INT(C81-B81))</f>
        <v>1</v>
      </c>
      <c r="E81" s="17" t="n">
        <f aca="false">'Internal Transactions'!C81</f>
        <v>1767.52</v>
      </c>
      <c r="F81" s="17" t="n">
        <f aca="false">IFERROR(VLOOKUP(A81,'Bank Statement'!A:C,3,FALSE()),"")</f>
        <v>1767.52</v>
      </c>
      <c r="G81" s="17" t="n">
        <f aca="false">IF(F81="","",ABS(F81-E81))</f>
        <v>0</v>
      </c>
      <c r="H81" s="15" t="str">
        <f aca="false">'Internal Transactions'!H81</f>
        <v>ING Maandelijks</v>
      </c>
      <c r="I81" s="15" t="str">
        <f aca="false">IFERROR(VLOOKUP(A81,'Bank Statement'!A:G,7,FALSE()),"")</f>
        <v>ING Maandelijks</v>
      </c>
      <c r="J81" s="15" t="str">
        <f aca="false">IF(I81="","N/A",IF(Settings!$C$10="FALSE",IF(EXACT(UPPER(H81),UPPER(I81)),"Exact","No"),IF(EXACT(UPPER(H81),UPPER(I81)),"Exact",IF(ISNUMBER(SEARCH(LEFT(H81,FIND(" ",H81&amp;" ")-1),I81)),"Fuzzy",IF(ISNUMBER(SEARCH(SUBSTITUTE(H81," ",""),SUBSTITUTE(I81," ",""))),"Fuzzy","No")))))</f>
        <v>Exact</v>
      </c>
      <c r="K81" s="15" t="str">
        <f aca="false">IF(D81="","N/A",IF(AND(D81&gt;=0,D81&lt;=Settings!$C$6),"Yes","OUT OF WINDOW"))</f>
        <v>Yes</v>
      </c>
      <c r="L81" s="15" t="str">
        <f aca="false">IF(F81="","❌ Missing in Bank",IF(G81&gt;Settings!$C$7,"⚠ Amount Mismatch",IF(K81="OUT OF WINDOW","⏰ Late Settlement",IF(J81="No","⚠ Reference Mismatch","✅ Matched"))))</f>
        <v>✅ Matched</v>
      </c>
    </row>
    <row r="82" customFormat="false" ht="15" hidden="false" customHeight="false" outlineLevel="0" collapsed="false">
      <c r="A82" s="15" t="str">
        <f aca="false">'Internal Transactions'!A82</f>
        <v>SEPA-2025-1080</v>
      </c>
      <c r="B82" s="18" t="n">
        <f aca="false">'Internal Transactions'!B82</f>
        <v>45945.5416666667</v>
      </c>
      <c r="C82" s="18" t="n">
        <f aca="false">IFERROR(VLOOKUP(A82,'Bank Statement'!A:B,2,FALSE()),"")</f>
        <v>45948.625</v>
      </c>
      <c r="D82" s="15" t="n">
        <f aca="false">IF(C82="","",INT(C82-B82))</f>
        <v>3</v>
      </c>
      <c r="E82" s="17" t="n">
        <f aca="false">'Internal Transactions'!C82</f>
        <v>160.35</v>
      </c>
      <c r="F82" s="17" t="n">
        <f aca="false">IFERROR(VLOOKUP(A82,'Bank Statement'!A:C,3,FALSE()),"")</f>
        <v>160.35</v>
      </c>
      <c r="G82" s="17" t="n">
        <f aca="false">IF(F82="","",ABS(F82-E82))</f>
        <v>0</v>
      </c>
      <c r="H82" s="15" t="str">
        <f aca="false">'Internal Transactions'!H82</f>
        <v>Vodafone Mobile</v>
      </c>
      <c r="I82" s="15" t="str">
        <f aca="false">IFERROR(VLOOKUP(A82,'Bank Statement'!A:G,7,FALSE()),"")</f>
        <v>Vodafone Mobile</v>
      </c>
      <c r="J82" s="15" t="str">
        <f aca="false">IF(I82="","N/A",IF(Settings!$C$10="FALSE",IF(EXACT(UPPER(H82),UPPER(I82)),"Exact","No"),IF(EXACT(UPPER(H82),UPPER(I82)),"Exact",IF(ISNUMBER(SEARCH(LEFT(H82,FIND(" ",H82&amp;" ")-1),I82)),"Fuzzy",IF(ISNUMBER(SEARCH(SUBSTITUTE(H82," ",""),SUBSTITUTE(I82," ",""))),"Fuzzy","No")))))</f>
        <v>Exact</v>
      </c>
      <c r="K82" s="15" t="str">
        <f aca="false">IF(D82="","N/A",IF(AND(D82&gt;=0,D82&lt;=Settings!$C$6),"Yes","OUT OF WINDOW"))</f>
        <v>Yes</v>
      </c>
      <c r="L82" s="15" t="str">
        <f aca="false">IF(F82="","❌ Missing in Bank",IF(G82&gt;Settings!$C$7,"⚠ Amount Mismatch",IF(K82="OUT OF WINDOW","⏰ Late Settlement",IF(J82="No","⚠ Reference Mismatch","✅ Matched"))))</f>
        <v>✅ Matched</v>
      </c>
    </row>
    <row r="83" customFormat="false" ht="15" hidden="false" customHeight="false" outlineLevel="0" collapsed="false">
      <c r="A83" s="15" t="str">
        <f aca="false">'Internal Transactions'!A83</f>
        <v>SEPA-2025-1081</v>
      </c>
      <c r="B83" s="18" t="n">
        <f aca="false">'Internal Transactions'!B83</f>
        <v>45943.625</v>
      </c>
      <c r="C83" s="18" t="n">
        <f aca="false">IFERROR(VLOOKUP(A83,'Bank Statement'!A:B,2,FALSE()),"")</f>
        <v>45945.9583333333</v>
      </c>
      <c r="D83" s="15" t="n">
        <f aca="false">IF(C83="","",INT(C83-B83))</f>
        <v>2</v>
      </c>
      <c r="E83" s="17" t="n">
        <f aca="false">'Internal Transactions'!C83</f>
        <v>19.71</v>
      </c>
      <c r="F83" s="17" t="n">
        <f aca="false">IFERROR(VLOOKUP(A83,'Bank Statement'!A:C,3,FALSE()),"")</f>
        <v>19.71</v>
      </c>
      <c r="G83" s="17" t="n">
        <f aca="false">IF(F83="","",ABS(F83-E83))</f>
        <v>0</v>
      </c>
      <c r="H83" s="15" t="str">
        <f aca="false">'Internal Transactions'!H83</f>
        <v>Albert Heijn Bezorging</v>
      </c>
      <c r="I83" s="15" t="str">
        <f aca="false">IFERROR(VLOOKUP(A83,'Bank Statement'!A:G,7,FALSE()),"")</f>
        <v>Albert Heijn Bezorging</v>
      </c>
      <c r="J83" s="15" t="str">
        <f aca="false">IF(I83="","N/A",IF(Settings!$C$10="FALSE",IF(EXACT(UPPER(H83),UPPER(I83)),"Exact","No"),IF(EXACT(UPPER(H83),UPPER(I83)),"Exact",IF(ISNUMBER(SEARCH(LEFT(H83,FIND(" ",H83&amp;" ")-1),I83)),"Fuzzy",IF(ISNUMBER(SEARCH(SUBSTITUTE(H83," ",""),SUBSTITUTE(I83," ",""))),"Fuzzy","No")))))</f>
        <v>Exact</v>
      </c>
      <c r="K83" s="15" t="str">
        <f aca="false">IF(D83="","N/A",IF(AND(D83&gt;=0,D83&lt;=Settings!$C$6),"Yes","OUT OF WINDOW"))</f>
        <v>Yes</v>
      </c>
      <c r="L83" s="15" t="str">
        <f aca="false">IF(F83="","❌ Missing in Bank",IF(G83&gt;Settings!$C$7,"⚠ Amount Mismatch",IF(K83="OUT OF WINDOW","⏰ Late Settlement",IF(J83="No","⚠ Reference Mismatch","✅ Matched"))))</f>
        <v>✅ Matched</v>
      </c>
    </row>
    <row r="84" customFormat="false" ht="15" hidden="false" customHeight="false" outlineLevel="0" collapsed="false">
      <c r="A84" s="15" t="str">
        <f aca="false">'Internal Transactions'!A84</f>
        <v>SEPA-2025-1082</v>
      </c>
      <c r="B84" s="18" t="n">
        <f aca="false">'Internal Transactions'!B84</f>
        <v>45948.9583333333</v>
      </c>
      <c r="C84" s="18" t="n">
        <f aca="false">IFERROR(VLOOKUP(A84,'Bank Statement'!A:B,2,FALSE()),"")</f>
        <v>45950</v>
      </c>
      <c r="D84" s="15" t="n">
        <f aca="false">IF(C84="","",INT(C84-B84))</f>
        <v>1</v>
      </c>
      <c r="E84" s="17" t="n">
        <f aca="false">'Internal Transactions'!C84</f>
        <v>1837.91</v>
      </c>
      <c r="F84" s="17" t="n">
        <f aca="false">IFERROR(VLOOKUP(A84,'Bank Statement'!A:C,3,FALSE()),"")</f>
        <v>1837.91</v>
      </c>
      <c r="G84" s="17" t="n">
        <f aca="false">IF(F84="","",ABS(F84-E84))</f>
        <v>0</v>
      </c>
      <c r="H84" s="15" t="str">
        <f aca="false">'Internal Transactions'!H84</f>
        <v>Lidl Online</v>
      </c>
      <c r="I84" s="15" t="str">
        <f aca="false">IFERROR(VLOOKUP(A84,'Bank Statement'!A:G,7,FALSE()),"")</f>
        <v>Lidl Online</v>
      </c>
      <c r="J84" s="15" t="str">
        <f aca="false">IF(I84="","N/A",IF(Settings!$C$10="FALSE",IF(EXACT(UPPER(H84),UPPER(I84)),"Exact","No"),IF(EXACT(UPPER(H84),UPPER(I84)),"Exact",IF(ISNUMBER(SEARCH(LEFT(H84,FIND(" ",H84&amp;" ")-1),I84)),"Fuzzy",IF(ISNUMBER(SEARCH(SUBSTITUTE(H84," ",""),SUBSTITUTE(I84," ",""))),"Fuzzy","No")))))</f>
        <v>Exact</v>
      </c>
      <c r="K84" s="15" t="str">
        <f aca="false">IF(D84="","N/A",IF(AND(D84&gt;=0,D84&lt;=Settings!$C$6),"Yes","OUT OF WINDOW"))</f>
        <v>Yes</v>
      </c>
      <c r="L84" s="15" t="str">
        <f aca="false">IF(F84="","❌ Missing in Bank",IF(G84&gt;Settings!$C$7,"⚠ Amount Mismatch",IF(K84="OUT OF WINDOW","⏰ Late Settlement",IF(J84="No","⚠ Reference Mismatch","✅ Matched"))))</f>
        <v>✅ Matched</v>
      </c>
    </row>
    <row r="85" customFormat="false" ht="15" hidden="false" customHeight="false" outlineLevel="0" collapsed="false">
      <c r="A85" s="15" t="str">
        <f aca="false">'Internal Transactions'!A85</f>
        <v>SEPA-2025-1083</v>
      </c>
      <c r="B85" s="18" t="n">
        <f aca="false">'Internal Transactions'!B85</f>
        <v>45944.625</v>
      </c>
      <c r="C85" s="18" t="n">
        <f aca="false">IFERROR(VLOOKUP(A85,'Bank Statement'!A:B,2,FALSE()),"")</f>
        <v>45946.0833333333</v>
      </c>
      <c r="D85" s="15" t="n">
        <f aca="false">IF(C85="","",INT(C85-B85))</f>
        <v>1</v>
      </c>
      <c r="E85" s="17" t="n">
        <f aca="false">'Internal Transactions'!C85</f>
        <v>77.42</v>
      </c>
      <c r="F85" s="17" t="n">
        <f aca="false">IFERROR(VLOOKUP(A85,'Bank Statement'!A:C,3,FALSE()),"")</f>
        <v>77.42</v>
      </c>
      <c r="G85" s="17" t="n">
        <f aca="false">IF(F85="","",ABS(F85-E85))</f>
        <v>0</v>
      </c>
      <c r="H85" s="15" t="str">
        <f aca="false">'Internal Transactions'!H85</f>
        <v>Booking.com Reservation</v>
      </c>
      <c r="I85" s="15" t="str">
        <f aca="false">IFERROR(VLOOKUP(A85,'Bank Statement'!A:G,7,FALSE()),"")</f>
        <v>Booking.com Reservation</v>
      </c>
      <c r="J85" s="15" t="str">
        <f aca="false">IF(I85="","N/A",IF(Settings!$C$10="FALSE",IF(EXACT(UPPER(H85),UPPER(I85)),"Exact","No"),IF(EXACT(UPPER(H85),UPPER(I85)),"Exact",IF(ISNUMBER(SEARCH(LEFT(H85,FIND(" ",H85&amp;" ")-1),I85)),"Fuzzy",IF(ISNUMBER(SEARCH(SUBSTITUTE(H85," ",""),SUBSTITUTE(I85," ",""))),"Fuzzy","No")))))</f>
        <v>Exact</v>
      </c>
      <c r="K85" s="15" t="str">
        <f aca="false">IF(D85="","N/A",IF(AND(D85&gt;=0,D85&lt;=Settings!$C$6),"Yes","OUT OF WINDOW"))</f>
        <v>Yes</v>
      </c>
      <c r="L85" s="15" t="str">
        <f aca="false">IF(F85="","❌ Missing in Bank",IF(G85&gt;Settings!$C$7,"⚠ Amount Mismatch",IF(K85="OUT OF WINDOW","⏰ Late Settlement",IF(J85="No","⚠ Reference Mismatch","✅ Matched"))))</f>
        <v>✅ Matched</v>
      </c>
    </row>
    <row r="86" customFormat="false" ht="15" hidden="false" customHeight="false" outlineLevel="0" collapsed="false">
      <c r="A86" s="15" t="str">
        <f aca="false">'Internal Transactions'!A86</f>
        <v>SEPA-2025-1084</v>
      </c>
      <c r="B86" s="18" t="n">
        <f aca="false">'Internal Transactions'!B86</f>
        <v>45957.5833333333</v>
      </c>
      <c r="C86" s="18" t="n">
        <f aca="false">IFERROR(VLOOKUP(A86,'Bank Statement'!A:B,2,FALSE()),"")</f>
        <v>45960.625</v>
      </c>
      <c r="D86" s="15" t="n">
        <f aca="false">IF(C86="","",INT(C86-B86))</f>
        <v>3</v>
      </c>
      <c r="E86" s="17" t="n">
        <f aca="false">'Internal Transactions'!C86</f>
        <v>2299.26</v>
      </c>
      <c r="F86" s="17" t="n">
        <f aca="false">IFERROR(VLOOKUP(A86,'Bank Statement'!A:C,3,FALSE()),"")</f>
        <v>2299.26</v>
      </c>
      <c r="G86" s="17" t="n">
        <f aca="false">IF(F86="","",ABS(F86-E86))</f>
        <v>0</v>
      </c>
      <c r="H86" s="15" t="str">
        <f aca="false">'Internal Transactions'!H86</f>
        <v>Vodafone Mobile</v>
      </c>
      <c r="I86" s="15" t="str">
        <f aca="false">IFERROR(VLOOKUP(A86,'Bank Statement'!A:G,7,FALSE()),"")</f>
        <v>Vodafone Mobile</v>
      </c>
      <c r="J86" s="15" t="str">
        <f aca="false">IF(I86="","N/A",IF(Settings!$C$10="FALSE",IF(EXACT(UPPER(H86),UPPER(I86)),"Exact","No"),IF(EXACT(UPPER(H86),UPPER(I86)),"Exact",IF(ISNUMBER(SEARCH(LEFT(H86,FIND(" ",H86&amp;" ")-1),I86)),"Fuzzy",IF(ISNUMBER(SEARCH(SUBSTITUTE(H86," ",""),SUBSTITUTE(I86," ",""))),"Fuzzy","No")))))</f>
        <v>Exact</v>
      </c>
      <c r="K86" s="15" t="str">
        <f aca="false">IF(D86="","N/A",IF(AND(D86&gt;=0,D86&lt;=Settings!$C$6),"Yes","OUT OF WINDOW"))</f>
        <v>Yes</v>
      </c>
      <c r="L86" s="15" t="str">
        <f aca="false">IF(F86="","❌ Missing in Bank",IF(G86&gt;Settings!$C$7,"⚠ Amount Mismatch",IF(K86="OUT OF WINDOW","⏰ Late Settlement",IF(J86="No","⚠ Reference Mismatch","✅ Matched"))))</f>
        <v>✅ Matched</v>
      </c>
    </row>
    <row r="87" customFormat="false" ht="15" hidden="false" customHeight="false" outlineLevel="0" collapsed="false">
      <c r="A87" s="15" t="str">
        <f aca="false">'Internal Transactions'!A87</f>
        <v>SEPA-2025-1085</v>
      </c>
      <c r="B87" s="18" t="n">
        <f aca="false">'Internal Transactions'!B87</f>
        <v>45949.875</v>
      </c>
      <c r="C87" s="18" t="n">
        <f aca="false">IFERROR(VLOOKUP(A87,'Bank Statement'!A:B,2,FALSE()),"")</f>
        <v>45951.875</v>
      </c>
      <c r="D87" s="15" t="n">
        <f aca="false">IF(C87="","",INT(C87-B87))</f>
        <v>2</v>
      </c>
      <c r="E87" s="17" t="n">
        <f aca="false">'Internal Transactions'!C87</f>
        <v>72.62</v>
      </c>
      <c r="F87" s="17" t="n">
        <f aca="false">IFERROR(VLOOKUP(A87,'Bank Statement'!A:C,3,FALSE()),"")</f>
        <v>72.62</v>
      </c>
      <c r="G87" s="17" t="n">
        <f aca="false">IF(F87="","",ABS(F87-E87))</f>
        <v>0</v>
      </c>
      <c r="H87" s="15" t="str">
        <f aca="false">'Internal Transactions'!H87</f>
        <v>AH Online</v>
      </c>
      <c r="I87" s="15" t="str">
        <f aca="false">IFERROR(VLOOKUP(A87,'Bank Statement'!A:G,7,FALSE()),"")</f>
        <v>AH Online</v>
      </c>
      <c r="J87" s="15" t="str">
        <f aca="false">IF(I87="","N/A",IF(Settings!$C$10="FALSE",IF(EXACT(UPPER(H87),UPPER(I87)),"Exact","No"),IF(EXACT(UPPER(H87),UPPER(I87)),"Exact",IF(ISNUMBER(SEARCH(LEFT(H87,FIND(" ",H87&amp;" ")-1),I87)),"Fuzzy",IF(ISNUMBER(SEARCH(SUBSTITUTE(H87," ",""),SUBSTITUTE(I87," ",""))),"Fuzzy","No")))))</f>
        <v>Exact</v>
      </c>
      <c r="K87" s="15" t="str">
        <f aca="false">IF(D87="","N/A",IF(AND(D87&gt;=0,D87&lt;=Settings!$C$6),"Yes","OUT OF WINDOW"))</f>
        <v>Yes</v>
      </c>
      <c r="L87" s="15" t="str">
        <f aca="false">IF(F87="","❌ Missing in Bank",IF(G87&gt;Settings!$C$7,"⚠ Amount Mismatch",IF(K87="OUT OF WINDOW","⏰ Late Settlement",IF(J87="No","⚠ Reference Mismatch","✅ Matched"))))</f>
        <v>✅ Matched</v>
      </c>
    </row>
    <row r="88" customFormat="false" ht="15" hidden="false" customHeight="false" outlineLevel="0" collapsed="false">
      <c r="A88" s="15" t="str">
        <f aca="false">'Internal Transactions'!A88</f>
        <v>SEPA-2025-1086</v>
      </c>
      <c r="B88" s="18" t="n">
        <f aca="false">'Internal Transactions'!B88</f>
        <v>45939.5</v>
      </c>
      <c r="C88" s="18" t="n">
        <f aca="false">IFERROR(VLOOKUP(A88,'Bank Statement'!A:B,2,FALSE()),"")</f>
        <v>45942.7916666667</v>
      </c>
      <c r="D88" s="15" t="n">
        <f aca="false">IF(C88="","",INT(C88-B88))</f>
        <v>3</v>
      </c>
      <c r="E88" s="17" t="n">
        <f aca="false">'Internal Transactions'!C88</f>
        <v>821.74</v>
      </c>
      <c r="F88" s="17" t="n">
        <f aca="false">IFERROR(VLOOKUP(A88,'Bank Statement'!A:C,3,FALSE()),"")</f>
        <v>821.74</v>
      </c>
      <c r="G88" s="17" t="n">
        <f aca="false">IF(F88="","",ABS(F88-E88))</f>
        <v>0</v>
      </c>
      <c r="H88" s="15" t="str">
        <f aca="false">'Internal Transactions'!H88</f>
        <v>Lidl Online</v>
      </c>
      <c r="I88" s="15" t="str">
        <f aca="false">IFERROR(VLOOKUP(A88,'Bank Statement'!A:G,7,FALSE()),"")</f>
        <v>Lidl</v>
      </c>
      <c r="J88" s="15" t="str">
        <f aca="false">IF(I88="","N/A",IF(Settings!$C$10="FALSE",IF(EXACT(UPPER(H88),UPPER(I88)),"Exact","No"),IF(EXACT(UPPER(H88),UPPER(I88)),"Exact",IF(ISNUMBER(SEARCH(LEFT(H88,FIND(" ",H88&amp;" ")-1),I88)),"Fuzzy",IF(ISNUMBER(SEARCH(SUBSTITUTE(H88," ",""),SUBSTITUTE(I88," ",""))),"Fuzzy","No")))))</f>
        <v>Fuzzy</v>
      </c>
      <c r="K88" s="15" t="str">
        <f aca="false">IF(D88="","N/A",IF(AND(D88&gt;=0,D88&lt;=Settings!$C$6),"Yes","OUT OF WINDOW"))</f>
        <v>Yes</v>
      </c>
      <c r="L88" s="15" t="str">
        <f aca="false">IF(F88="","❌ Missing in Bank",IF(G88&gt;Settings!$C$7,"⚠ Amount Mismatch",IF(K88="OUT OF WINDOW","⏰ Late Settlement",IF(J88="No","⚠ Reference Mismatch","✅ Matched"))))</f>
        <v>✅ Matched</v>
      </c>
    </row>
    <row r="89" customFormat="false" ht="15" hidden="false" customHeight="false" outlineLevel="0" collapsed="false">
      <c r="A89" s="15" t="str">
        <f aca="false">'Internal Transactions'!A89</f>
        <v>SEPA-2025-1087</v>
      </c>
      <c r="B89" s="18" t="n">
        <f aca="false">'Internal Transactions'!B89</f>
        <v>45955.5416666667</v>
      </c>
      <c r="C89" s="18" t="n">
        <f aca="false">IFERROR(VLOOKUP(A89,'Bank Statement'!A:B,2,FALSE()),"")</f>
        <v>45955.75</v>
      </c>
      <c r="D89" s="15" t="n">
        <f aca="false">IF(C89="","",INT(C89-B89))</f>
        <v>0</v>
      </c>
      <c r="E89" s="17" t="n">
        <f aca="false">'Internal Transactions'!C89</f>
        <v>634.42</v>
      </c>
      <c r="F89" s="17" t="n">
        <f aca="false">IFERROR(VLOOKUP(A89,'Bank Statement'!A:C,3,FALSE()),"")</f>
        <v>634.42</v>
      </c>
      <c r="G89" s="17" t="n">
        <f aca="false">IF(F89="","",ABS(F89-E89))</f>
        <v>0</v>
      </c>
      <c r="H89" s="15" t="str">
        <f aca="false">'Internal Transactions'!H89</f>
        <v>AH Online</v>
      </c>
      <c r="I89" s="15" t="str">
        <f aca="false">IFERROR(VLOOKUP(A89,'Bank Statement'!A:G,7,FALSE()),"")</f>
        <v>AH Online - REF3063</v>
      </c>
      <c r="J89" s="15" t="str">
        <f aca="false">IF(I89="","N/A",IF(Settings!$C$10="FALSE",IF(EXACT(UPPER(H89),UPPER(I89)),"Exact","No"),IF(EXACT(UPPER(H89),UPPER(I89)),"Exact",IF(ISNUMBER(SEARCH(LEFT(H89,FIND(" ",H89&amp;" ")-1),I89)),"Fuzzy",IF(ISNUMBER(SEARCH(SUBSTITUTE(H89," ",""),SUBSTITUTE(I89," ",""))),"Fuzzy","No")))))</f>
        <v>Fuzzy</v>
      </c>
      <c r="K89" s="15" t="str">
        <f aca="false">IF(D89="","N/A",IF(AND(D89&gt;=0,D89&lt;=Settings!$C$6),"Yes","OUT OF WINDOW"))</f>
        <v>Yes</v>
      </c>
      <c r="L89" s="15" t="str">
        <f aca="false">IF(F89="","❌ Missing in Bank",IF(G89&gt;Settings!$C$7,"⚠ Amount Mismatch",IF(K89="OUT OF WINDOW","⏰ Late Settlement",IF(J89="No","⚠ Reference Mismatch","✅ Matched"))))</f>
        <v>✅ Matched</v>
      </c>
    </row>
    <row r="90" customFormat="false" ht="15" hidden="false" customHeight="false" outlineLevel="0" collapsed="false">
      <c r="A90" s="15" t="str">
        <f aca="false">'Internal Transactions'!A90</f>
        <v>SEPA-2025-1088</v>
      </c>
      <c r="B90" s="18" t="n">
        <f aca="false">'Internal Transactions'!B90</f>
        <v>45961.4583333333</v>
      </c>
      <c r="C90" s="18" t="n">
        <f aca="false">IFERROR(VLOOKUP(A90,'Bank Statement'!A:B,2,FALSE()),"")</f>
        <v>45963.8333333333</v>
      </c>
      <c r="D90" s="15" t="n">
        <f aca="false">IF(C90="","",INT(C90-B90))</f>
        <v>2</v>
      </c>
      <c r="E90" s="17" t="n">
        <f aca="false">'Internal Transactions'!C90</f>
        <v>564.43</v>
      </c>
      <c r="F90" s="17" t="n">
        <f aca="false">IFERROR(VLOOKUP(A90,'Bank Statement'!A:C,3,FALSE()),"")</f>
        <v>564.43</v>
      </c>
      <c r="G90" s="17" t="n">
        <f aca="false">IF(F90="","",ABS(F90-E90))</f>
        <v>0</v>
      </c>
      <c r="H90" s="15" t="str">
        <f aca="false">'Internal Transactions'!H90</f>
        <v>Bol.com Order</v>
      </c>
      <c r="I90" s="15" t="str">
        <f aca="false">IFERROR(VLOOKUP(A90,'Bank Statement'!A:G,7,FALSE()),"")</f>
        <v>Bol.comOrder</v>
      </c>
      <c r="J90" s="15" t="str">
        <f aca="false">IF(I90="","N/A",IF(Settings!$C$10="FALSE",IF(EXACT(UPPER(H90),UPPER(I90)),"Exact","No"),IF(EXACT(UPPER(H90),UPPER(I90)),"Exact",IF(ISNUMBER(SEARCH(LEFT(H90,FIND(" ",H90&amp;" ")-1),I90)),"Fuzzy",IF(ISNUMBER(SEARCH(SUBSTITUTE(H90," ",""),SUBSTITUTE(I90," ",""))),"Fuzzy","No")))))</f>
        <v>Fuzzy</v>
      </c>
      <c r="K90" s="15" t="str">
        <f aca="false">IF(D90="","N/A",IF(AND(D90&gt;=0,D90&lt;=Settings!$C$6),"Yes","OUT OF WINDOW"))</f>
        <v>Yes</v>
      </c>
      <c r="L90" s="15" t="str">
        <f aca="false">IF(F90="","❌ Missing in Bank",IF(G90&gt;Settings!$C$7,"⚠ Amount Mismatch",IF(K90="OUT OF WINDOW","⏰ Late Settlement",IF(J90="No","⚠ Reference Mismatch","✅ Matched"))))</f>
        <v>✅ Matched</v>
      </c>
    </row>
    <row r="91" customFormat="false" ht="15" hidden="false" customHeight="false" outlineLevel="0" collapsed="false">
      <c r="A91" s="15" t="str">
        <f aca="false">'Internal Transactions'!A91</f>
        <v>SEPA-2025-1089</v>
      </c>
      <c r="B91" s="18" t="n">
        <f aca="false">'Internal Transactions'!B91</f>
        <v>45961.2916666667</v>
      </c>
      <c r="C91" s="18" t="n">
        <f aca="false">IFERROR(VLOOKUP(A91,'Bank Statement'!A:B,2,FALSE()),"")</f>
        <v>45963.4583333333</v>
      </c>
      <c r="D91" s="15" t="n">
        <f aca="false">IF(C91="","",INT(C91-B91))</f>
        <v>2</v>
      </c>
      <c r="E91" s="17" t="n">
        <f aca="false">'Internal Transactions'!C91</f>
        <v>502.4</v>
      </c>
      <c r="F91" s="17" t="n">
        <f aca="false">IFERROR(VLOOKUP(A91,'Bank Statement'!A:C,3,FALSE()),"")</f>
        <v>502.4</v>
      </c>
      <c r="G91" s="17" t="n">
        <f aca="false">IF(F91="","",ABS(F91-E91))</f>
        <v>0</v>
      </c>
      <c r="H91" s="15" t="str">
        <f aca="false">'Internal Transactions'!H91</f>
        <v>Spotify Subscription</v>
      </c>
      <c r="I91" s="15" t="str">
        <f aca="false">IFERROR(VLOOKUP(A91,'Bank Statement'!A:G,7,FALSE()),"")</f>
        <v>Spotify Subscription</v>
      </c>
      <c r="J91" s="15" t="str">
        <f aca="false">IF(I91="","N/A",IF(Settings!$C$10="FALSE",IF(EXACT(UPPER(H91),UPPER(I91)),"Exact","No"),IF(EXACT(UPPER(H91),UPPER(I91)),"Exact",IF(ISNUMBER(SEARCH(LEFT(H91,FIND(" ",H91&amp;" ")-1),I91)),"Fuzzy",IF(ISNUMBER(SEARCH(SUBSTITUTE(H91," ",""),SUBSTITUTE(I91," ",""))),"Fuzzy","No")))))</f>
        <v>Exact</v>
      </c>
      <c r="K91" s="15" t="str">
        <f aca="false">IF(D91="","N/A",IF(AND(D91&gt;=0,D91&lt;=Settings!$C$6),"Yes","OUT OF WINDOW"))</f>
        <v>Yes</v>
      </c>
      <c r="L91" s="15" t="str">
        <f aca="false">IF(F91="","❌ Missing in Bank",IF(G91&gt;Settings!$C$7,"⚠ Amount Mismatch",IF(K91="OUT OF WINDOW","⏰ Late Settlement",IF(J91="No","⚠ Reference Mismatch","✅ Matched"))))</f>
        <v>✅ Matched</v>
      </c>
    </row>
    <row r="92" customFormat="false" ht="15" hidden="false" customHeight="false" outlineLevel="0" collapsed="false">
      <c r="A92" s="15" t="str">
        <f aca="false">'Internal Transactions'!A92</f>
        <v>SEPA-2025-1090</v>
      </c>
      <c r="B92" s="18" t="n">
        <f aca="false">'Internal Transactions'!B92</f>
        <v>45946.875</v>
      </c>
      <c r="C92" s="18" t="n">
        <f aca="false">IFERROR(VLOOKUP(A92,'Bank Statement'!A:B,2,FALSE()),"")</f>
        <v>45947.9583333333</v>
      </c>
      <c r="D92" s="15" t="n">
        <f aca="false">IF(C92="","",INT(C92-B92))</f>
        <v>1</v>
      </c>
      <c r="E92" s="17" t="n">
        <f aca="false">'Internal Transactions'!C92</f>
        <v>290.4</v>
      </c>
      <c r="F92" s="17" t="n">
        <f aca="false">IFERROR(VLOOKUP(A92,'Bank Statement'!A:C,3,FALSE()),"")</f>
        <v>290.4</v>
      </c>
      <c r="G92" s="17" t="n">
        <f aca="false">IF(F92="","",ABS(F92-E92))</f>
        <v>0</v>
      </c>
      <c r="H92" s="15" t="str">
        <f aca="false">'Internal Transactions'!H92</f>
        <v>MediaMarkt</v>
      </c>
      <c r="I92" s="15" t="str">
        <f aca="false">IFERROR(VLOOKUP(A92,'Bank Statement'!A:G,7,FALSE()),"")</f>
        <v>MediaMarkt NL</v>
      </c>
      <c r="J92" s="15" t="str">
        <f aca="false">IF(I92="","N/A",IF(Settings!$C$10="FALSE",IF(EXACT(UPPER(H92),UPPER(I92)),"Exact","No"),IF(EXACT(UPPER(H92),UPPER(I92)),"Exact",IF(ISNUMBER(SEARCH(LEFT(H92,FIND(" ",H92&amp;" ")-1),I92)),"Fuzzy",IF(ISNUMBER(SEARCH(SUBSTITUTE(H92," ",""),SUBSTITUTE(I92," ",""))),"Fuzzy","No")))))</f>
        <v>Fuzzy</v>
      </c>
      <c r="K92" s="15" t="str">
        <f aca="false">IF(D92="","N/A",IF(AND(D92&gt;=0,D92&lt;=Settings!$C$6),"Yes","OUT OF WINDOW"))</f>
        <v>Yes</v>
      </c>
      <c r="L92" s="15" t="str">
        <f aca="false">IF(F92="","❌ Missing in Bank",IF(G92&gt;Settings!$C$7,"⚠ Amount Mismatch",IF(K92="OUT OF WINDOW","⏰ Late Settlement",IF(J92="No","⚠ Reference Mismatch","✅ Matched"))))</f>
        <v>✅ Matched</v>
      </c>
    </row>
    <row r="93" customFormat="false" ht="15" hidden="false" customHeight="false" outlineLevel="0" collapsed="false">
      <c r="A93" s="15" t="str">
        <f aca="false">'Internal Transactions'!A93</f>
        <v>SEPA-2025-1091</v>
      </c>
      <c r="B93" s="18" t="n">
        <f aca="false">'Internal Transactions'!B93</f>
        <v>45936.7916666667</v>
      </c>
      <c r="C93" s="18" t="str">
        <f aca="false">IFERROR(VLOOKUP(A93,'Bank Statement'!A:B,2,FALSE()),"")</f>
        <v/>
      </c>
      <c r="D93" s="15" t="str">
        <f aca="false">IF(C93="","",INT(C93-B93))</f>
        <v/>
      </c>
      <c r="E93" s="17" t="n">
        <f aca="false">'Internal Transactions'!C93</f>
        <v>1520.08</v>
      </c>
      <c r="F93" s="17" t="str">
        <f aca="false">IFERROR(VLOOKUP(A93,'Bank Statement'!A:C,3,FALSE()),"")</f>
        <v/>
      </c>
      <c r="G93" s="17" t="str">
        <f aca="false">IF(F93="","",ABS(F93-E93))</f>
        <v/>
      </c>
      <c r="H93" s="15" t="str">
        <f aca="false">'Internal Transactions'!H93</f>
        <v>Decathlon Webshop</v>
      </c>
      <c r="I93" s="15" t="str">
        <f aca="false">IFERROR(VLOOKUP(A93,'Bank Statement'!A:G,7,FALSE()),"")</f>
        <v/>
      </c>
      <c r="J93" s="15" t="str">
        <f aca="false">IF(I93="","N/A",IF(Settings!$C$10="FALSE",IF(EXACT(UPPER(H93),UPPER(I93)),"Exact","No"),IF(EXACT(UPPER(H93),UPPER(I93)),"Exact",IF(ISNUMBER(SEARCH(LEFT(H93,FIND(" ",H93&amp;" ")-1),I93)),"Fuzzy",IF(ISNUMBER(SEARCH(SUBSTITUTE(H93," ",""),SUBSTITUTE(I93," ",""))),"Fuzzy","No")))))</f>
        <v>N/A</v>
      </c>
      <c r="K93" s="15" t="str">
        <f aca="false">IF(D93="","N/A",IF(AND(D93&gt;=0,D93&lt;=Settings!$C$6),"Yes","OUT OF WINDOW"))</f>
        <v>N/A</v>
      </c>
      <c r="L93" s="15" t="str">
        <f aca="false">IF(F93="","❌ Missing in Bank",IF(G93&gt;Settings!$C$7,"⚠ Amount Mismatch",IF(K93="OUT OF WINDOW","⏰ Late Settlement",IF(J93="No","⚠ Reference Mismatch","✅ Matched"))))</f>
        <v>❌ Missing in Bank</v>
      </c>
    </row>
    <row r="94" customFormat="false" ht="15" hidden="false" customHeight="false" outlineLevel="0" collapsed="false">
      <c r="A94" s="15" t="str">
        <f aca="false">'Internal Transactions'!A94</f>
        <v>SEPA-2025-1092</v>
      </c>
      <c r="B94" s="18" t="n">
        <f aca="false">'Internal Transactions'!B94</f>
        <v>45934.75</v>
      </c>
      <c r="C94" s="18" t="n">
        <f aca="false">IFERROR(VLOOKUP(A94,'Bank Statement'!A:B,2,FALSE()),"")</f>
        <v>45935.8333333333</v>
      </c>
      <c r="D94" s="15" t="n">
        <f aca="false">IF(C94="","",INT(C94-B94))</f>
        <v>1</v>
      </c>
      <c r="E94" s="17" t="n">
        <f aca="false">'Internal Transactions'!C94</f>
        <v>69.07</v>
      </c>
      <c r="F94" s="17" t="n">
        <f aca="false">IFERROR(VLOOKUP(A94,'Bank Statement'!A:C,3,FALSE()),"")</f>
        <v>69.07</v>
      </c>
      <c r="G94" s="17" t="n">
        <f aca="false">IF(F94="","",ABS(F94-E94))</f>
        <v>0</v>
      </c>
      <c r="H94" s="15" t="str">
        <f aca="false">'Internal Transactions'!H94</f>
        <v>HEMA Webshop</v>
      </c>
      <c r="I94" s="15" t="str">
        <f aca="false">IFERROR(VLOOKUP(A94,'Bank Statement'!A:G,7,FALSE()),"")</f>
        <v>HEMA</v>
      </c>
      <c r="J94" s="15" t="str">
        <f aca="false">IF(I94="","N/A",IF(Settings!$C$10="FALSE",IF(EXACT(UPPER(H94),UPPER(I94)),"Exact","No"),IF(EXACT(UPPER(H94),UPPER(I94)),"Exact",IF(ISNUMBER(SEARCH(LEFT(H94,FIND(" ",H94&amp;" ")-1),I94)),"Fuzzy",IF(ISNUMBER(SEARCH(SUBSTITUTE(H94," ",""),SUBSTITUTE(I94," ",""))),"Fuzzy","No")))))</f>
        <v>Fuzzy</v>
      </c>
      <c r="K94" s="15" t="str">
        <f aca="false">IF(D94="","N/A",IF(AND(D94&gt;=0,D94&lt;=Settings!$C$6),"Yes","OUT OF WINDOW"))</f>
        <v>Yes</v>
      </c>
      <c r="L94" s="15" t="str">
        <f aca="false">IF(F94="","❌ Missing in Bank",IF(G94&gt;Settings!$C$7,"⚠ Amount Mismatch",IF(K94="OUT OF WINDOW","⏰ Late Settlement",IF(J94="No","⚠ Reference Mismatch","✅ Matched"))))</f>
        <v>✅ Matched</v>
      </c>
    </row>
    <row r="95" customFormat="false" ht="15" hidden="false" customHeight="false" outlineLevel="0" collapsed="false">
      <c r="A95" s="15" t="str">
        <f aca="false">'Internal Transactions'!A95</f>
        <v>SEPA-2025-1093</v>
      </c>
      <c r="B95" s="18" t="n">
        <f aca="false">'Internal Transactions'!B95</f>
        <v>45961.9166666667</v>
      </c>
      <c r="C95" s="18" t="n">
        <f aca="false">IFERROR(VLOOKUP(A95,'Bank Statement'!A:B,2,FALSE()),"")</f>
        <v>45962.2083333333</v>
      </c>
      <c r="D95" s="15" t="n">
        <f aca="false">IF(C95="","",INT(C95-B95))</f>
        <v>0</v>
      </c>
      <c r="E95" s="17" t="n">
        <f aca="false">'Internal Transactions'!C95</f>
        <v>499.83</v>
      </c>
      <c r="F95" s="17" t="n">
        <f aca="false">IFERROR(VLOOKUP(A95,'Bank Statement'!A:C,3,FALSE()),"")</f>
        <v>499.83</v>
      </c>
      <c r="G95" s="17" t="n">
        <f aca="false">IF(F95="","",ABS(F95-E95))</f>
        <v>0</v>
      </c>
      <c r="H95" s="15" t="str">
        <f aca="false">'Internal Transactions'!H95</f>
        <v>PostNL Pakket</v>
      </c>
      <c r="I95" s="15" t="str">
        <f aca="false">IFERROR(VLOOKUP(A95,'Bank Statement'!A:G,7,FALSE()),"")</f>
        <v>PostNL Pakket</v>
      </c>
      <c r="J95" s="15" t="str">
        <f aca="false">IF(I95="","N/A",IF(Settings!$C$10="FALSE",IF(EXACT(UPPER(H95),UPPER(I95)),"Exact","No"),IF(EXACT(UPPER(H95),UPPER(I95)),"Exact",IF(ISNUMBER(SEARCH(LEFT(H95,FIND(" ",H95&amp;" ")-1),I95)),"Fuzzy",IF(ISNUMBER(SEARCH(SUBSTITUTE(H95," ",""),SUBSTITUTE(I95," ",""))),"Fuzzy","No")))))</f>
        <v>Exact</v>
      </c>
      <c r="K95" s="15" t="str">
        <f aca="false">IF(D95="","N/A",IF(AND(D95&gt;=0,D95&lt;=Settings!$C$6),"Yes","OUT OF WINDOW"))</f>
        <v>Yes</v>
      </c>
      <c r="L95" s="15" t="str">
        <f aca="false">IF(F95="","❌ Missing in Bank",IF(G95&gt;Settings!$C$7,"⚠ Amount Mismatch",IF(K95="OUT OF WINDOW","⏰ Late Settlement",IF(J95="No","⚠ Reference Mismatch","✅ Matched"))))</f>
        <v>✅ Matched</v>
      </c>
    </row>
    <row r="96" customFormat="false" ht="15" hidden="false" customHeight="false" outlineLevel="0" collapsed="false">
      <c r="A96" s="15" t="str">
        <f aca="false">'Internal Transactions'!A96</f>
        <v>SEPA-2025-1094</v>
      </c>
      <c r="B96" s="18" t="n">
        <f aca="false">'Internal Transactions'!B96</f>
        <v>45953.375</v>
      </c>
      <c r="C96" s="18" t="n">
        <f aca="false">IFERROR(VLOOKUP(A96,'Bank Statement'!A:B,2,FALSE()),"")</f>
        <v>45955.75</v>
      </c>
      <c r="D96" s="15" t="n">
        <f aca="false">IF(C96="","",INT(C96-B96))</f>
        <v>2</v>
      </c>
      <c r="E96" s="17" t="n">
        <f aca="false">'Internal Transactions'!C96</f>
        <v>2126.48</v>
      </c>
      <c r="F96" s="17" t="n">
        <f aca="false">IFERROR(VLOOKUP(A96,'Bank Statement'!A:C,3,FALSE()),"")</f>
        <v>2126.48</v>
      </c>
      <c r="G96" s="17" t="n">
        <f aca="false">IF(F96="","",ABS(F96-E96))</f>
        <v>0</v>
      </c>
      <c r="H96" s="15" t="str">
        <f aca="false">'Internal Transactions'!H96</f>
        <v>MediaMarkt</v>
      </c>
      <c r="I96" s="15" t="str">
        <f aca="false">IFERROR(VLOOKUP(A96,'Bank Statement'!A:G,7,FALSE()),"")</f>
        <v>MediaMarkt</v>
      </c>
      <c r="J96" s="15" t="str">
        <f aca="false">IF(I96="","N/A",IF(Settings!$C$10="FALSE",IF(EXACT(UPPER(H96),UPPER(I96)),"Exact","No"),IF(EXACT(UPPER(H96),UPPER(I96)),"Exact",IF(ISNUMBER(SEARCH(LEFT(H96,FIND(" ",H96&amp;" ")-1),I96)),"Fuzzy",IF(ISNUMBER(SEARCH(SUBSTITUTE(H96," ",""),SUBSTITUTE(I96," ",""))),"Fuzzy","No")))))</f>
        <v>Exact</v>
      </c>
      <c r="K96" s="15" t="str">
        <f aca="false">IF(D96="","N/A",IF(AND(D96&gt;=0,D96&lt;=Settings!$C$6),"Yes","OUT OF WINDOW"))</f>
        <v>Yes</v>
      </c>
      <c r="L96" s="15" t="str">
        <f aca="false">IF(F96="","❌ Missing in Bank",IF(G96&gt;Settings!$C$7,"⚠ Amount Mismatch",IF(K96="OUT OF WINDOW","⏰ Late Settlement",IF(J96="No","⚠ Reference Mismatch","✅ Matched"))))</f>
        <v>✅ Matched</v>
      </c>
    </row>
    <row r="97" customFormat="false" ht="15" hidden="false" customHeight="false" outlineLevel="0" collapsed="false">
      <c r="A97" s="15" t="str">
        <f aca="false">'Internal Transactions'!A97</f>
        <v>SEPA-2025-1095</v>
      </c>
      <c r="B97" s="18" t="n">
        <f aca="false">'Internal Transactions'!B97</f>
        <v>45948.5416666667</v>
      </c>
      <c r="C97" s="18" t="n">
        <f aca="false">IFERROR(VLOOKUP(A97,'Bank Statement'!A:B,2,FALSE()),"")</f>
        <v>45948.8333333333</v>
      </c>
      <c r="D97" s="15" t="n">
        <f aca="false">IF(C97="","",INT(C97-B97))</f>
        <v>0</v>
      </c>
      <c r="E97" s="17" t="n">
        <f aca="false">'Internal Transactions'!C97</f>
        <v>1655.5</v>
      </c>
      <c r="F97" s="17" t="n">
        <f aca="false">IFERROR(VLOOKUP(A97,'Bank Statement'!A:C,3,FALSE()),"")</f>
        <v>1655.5</v>
      </c>
      <c r="G97" s="17" t="n">
        <f aca="false">IF(F97="","",ABS(F97-E97))</f>
        <v>0</v>
      </c>
      <c r="H97" s="15" t="str">
        <f aca="false">'Internal Transactions'!H97</f>
        <v>Bol.com Order</v>
      </c>
      <c r="I97" s="15" t="str">
        <f aca="false">IFERROR(VLOOKUP(A97,'Bank Statement'!A:G,7,FALSE()),"")</f>
        <v>Bol.com Order</v>
      </c>
      <c r="J97" s="15" t="str">
        <f aca="false">IF(I97="","N/A",IF(Settings!$C$10="FALSE",IF(EXACT(UPPER(H97),UPPER(I97)),"Exact","No"),IF(EXACT(UPPER(H97),UPPER(I97)),"Exact",IF(ISNUMBER(SEARCH(LEFT(H97,FIND(" ",H97&amp;" ")-1),I97)),"Fuzzy",IF(ISNUMBER(SEARCH(SUBSTITUTE(H97," ",""),SUBSTITUTE(I97," ",""))),"Fuzzy","No")))))</f>
        <v>Exact</v>
      </c>
      <c r="K97" s="15" t="str">
        <f aca="false">IF(D97="","N/A",IF(AND(D97&gt;=0,D97&lt;=Settings!$C$6),"Yes","OUT OF WINDOW"))</f>
        <v>Yes</v>
      </c>
      <c r="L97" s="15" t="str">
        <f aca="false">IF(F97="","❌ Missing in Bank",IF(G97&gt;Settings!$C$7,"⚠ Amount Mismatch",IF(K97="OUT OF WINDOW","⏰ Late Settlement",IF(J97="No","⚠ Reference Mismatch","✅ Matched"))))</f>
        <v>✅ Matched</v>
      </c>
    </row>
    <row r="98" customFormat="false" ht="15" hidden="false" customHeight="false" outlineLevel="0" collapsed="false">
      <c r="A98" s="15" t="str">
        <f aca="false">'Internal Transactions'!A98</f>
        <v>SEPA-2025-1096</v>
      </c>
      <c r="B98" s="18" t="n">
        <f aca="false">'Internal Transactions'!B98</f>
        <v>45958.5416666667</v>
      </c>
      <c r="C98" s="18" t="n">
        <f aca="false">IFERROR(VLOOKUP(A98,'Bank Statement'!A:B,2,FALSE()),"")</f>
        <v>45960.8333333333</v>
      </c>
      <c r="D98" s="15" t="n">
        <f aca="false">IF(C98="","",INT(C98-B98))</f>
        <v>2</v>
      </c>
      <c r="E98" s="17" t="n">
        <f aca="false">'Internal Transactions'!C98</f>
        <v>2056.72</v>
      </c>
      <c r="F98" s="17" t="n">
        <f aca="false">IFERROR(VLOOKUP(A98,'Bank Statement'!A:C,3,FALSE()),"")</f>
        <v>2056.72</v>
      </c>
      <c r="G98" s="17" t="n">
        <f aca="false">IF(F98="","",ABS(F98-E98))</f>
        <v>0</v>
      </c>
      <c r="H98" s="15" t="str">
        <f aca="false">'Internal Transactions'!H98</f>
        <v>Spotify Subscription</v>
      </c>
      <c r="I98" s="15" t="str">
        <f aca="false">IFERROR(VLOOKUP(A98,'Bank Statement'!A:G,7,FALSE()),"")</f>
        <v>SpotifySubscription</v>
      </c>
      <c r="J98" s="15" t="str">
        <f aca="false">IF(I98="","N/A",IF(Settings!$C$10="FALSE",IF(EXACT(UPPER(H98),UPPER(I98)),"Exact","No"),IF(EXACT(UPPER(H98),UPPER(I98)),"Exact",IF(ISNUMBER(SEARCH(LEFT(H98,FIND(" ",H98&amp;" ")-1),I98)),"Fuzzy",IF(ISNUMBER(SEARCH(SUBSTITUTE(H98," ",""),SUBSTITUTE(I98," ",""))),"Fuzzy","No")))))</f>
        <v>Fuzzy</v>
      </c>
      <c r="K98" s="15" t="str">
        <f aca="false">IF(D98="","N/A",IF(AND(D98&gt;=0,D98&lt;=Settings!$C$6),"Yes","OUT OF WINDOW"))</f>
        <v>Yes</v>
      </c>
      <c r="L98" s="15" t="str">
        <f aca="false">IF(F98="","❌ Missing in Bank",IF(G98&gt;Settings!$C$7,"⚠ Amount Mismatch",IF(K98="OUT OF WINDOW","⏰ Late Settlement",IF(J98="No","⚠ Reference Mismatch","✅ Matched"))))</f>
        <v>✅ Matched</v>
      </c>
    </row>
    <row r="99" customFormat="false" ht="15" hidden="false" customHeight="false" outlineLevel="0" collapsed="false">
      <c r="A99" s="15" t="str">
        <f aca="false">'Internal Transactions'!A99</f>
        <v>SEPA-2025-1097</v>
      </c>
      <c r="B99" s="18" t="n">
        <f aca="false">'Internal Transactions'!B99</f>
        <v>45944.2083333333</v>
      </c>
      <c r="C99" s="18" t="n">
        <f aca="false">IFERROR(VLOOKUP(A99,'Bank Statement'!A:B,2,FALSE()),"")</f>
        <v>45945.625</v>
      </c>
      <c r="D99" s="15" t="n">
        <f aca="false">IF(C99="","",INT(C99-B99))</f>
        <v>1</v>
      </c>
      <c r="E99" s="17" t="n">
        <f aca="false">'Internal Transactions'!C99</f>
        <v>1835.82</v>
      </c>
      <c r="F99" s="17" t="n">
        <f aca="false">IFERROR(VLOOKUP(A99,'Bank Statement'!A:C,3,FALSE()),"")</f>
        <v>1835.82</v>
      </c>
      <c r="G99" s="17" t="n">
        <f aca="false">IF(F99="","",ABS(F99-E99))</f>
        <v>0</v>
      </c>
      <c r="H99" s="15" t="str">
        <f aca="false">'Internal Transactions'!H99</f>
        <v>Zalando NL</v>
      </c>
      <c r="I99" s="15" t="str">
        <f aca="false">IFERROR(VLOOKUP(A99,'Bank Statement'!A:G,7,FALSE()),"")</f>
        <v>Zalando NL</v>
      </c>
      <c r="J99" s="15" t="str">
        <f aca="false">IF(I99="","N/A",IF(Settings!$C$10="FALSE",IF(EXACT(UPPER(H99),UPPER(I99)),"Exact","No"),IF(EXACT(UPPER(H99),UPPER(I99)),"Exact",IF(ISNUMBER(SEARCH(LEFT(H99,FIND(" ",H99&amp;" ")-1),I99)),"Fuzzy",IF(ISNUMBER(SEARCH(SUBSTITUTE(H99," ",""),SUBSTITUTE(I99," ",""))),"Fuzzy","No")))))</f>
        <v>Exact</v>
      </c>
      <c r="K99" s="15" t="str">
        <f aca="false">IF(D99="","N/A",IF(AND(D99&gt;=0,D99&lt;=Settings!$C$6),"Yes","OUT OF WINDOW"))</f>
        <v>Yes</v>
      </c>
      <c r="L99" s="15" t="str">
        <f aca="false">IF(F99="","❌ Missing in Bank",IF(G99&gt;Settings!$C$7,"⚠ Amount Mismatch",IF(K99="OUT OF WINDOW","⏰ Late Settlement",IF(J99="No","⚠ Reference Mismatch","✅ Matched"))))</f>
        <v>✅ Matched</v>
      </c>
    </row>
    <row r="100" customFormat="false" ht="15" hidden="false" customHeight="false" outlineLevel="0" collapsed="false">
      <c r="A100" s="15" t="str">
        <f aca="false">'Internal Transactions'!A100</f>
        <v>SEPA-2025-1098</v>
      </c>
      <c r="B100" s="18" t="n">
        <f aca="false">'Internal Transactions'!B100</f>
        <v>45945.5416666667</v>
      </c>
      <c r="C100" s="18" t="n">
        <f aca="false">IFERROR(VLOOKUP(A100,'Bank Statement'!A:B,2,FALSE()),"")</f>
        <v>45947.7083333333</v>
      </c>
      <c r="D100" s="15" t="n">
        <f aca="false">IF(C100="","",INT(C100-B100))</f>
        <v>2</v>
      </c>
      <c r="E100" s="17" t="n">
        <f aca="false">'Internal Transactions'!C100</f>
        <v>2065.21</v>
      </c>
      <c r="F100" s="17" t="n">
        <f aca="false">IFERROR(VLOOKUP(A100,'Bank Statement'!A:C,3,FALSE()),"")</f>
        <v>2065.21</v>
      </c>
      <c r="G100" s="17" t="n">
        <f aca="false">IF(F100="","",ABS(F100-E100))</f>
        <v>0</v>
      </c>
      <c r="H100" s="15" t="str">
        <f aca="false">'Internal Transactions'!H100</f>
        <v>Coolblue B.V.</v>
      </c>
      <c r="I100" s="15" t="str">
        <f aca="false">IFERROR(VLOOKUP(A100,'Bank Statement'!A:G,7,FALSE()),"")</f>
        <v>Coolblue B.V.</v>
      </c>
      <c r="J100" s="15" t="str">
        <f aca="false">IF(I100="","N/A",IF(Settings!$C$10="FALSE",IF(EXACT(UPPER(H100),UPPER(I100)),"Exact","No"),IF(EXACT(UPPER(H100),UPPER(I100)),"Exact",IF(ISNUMBER(SEARCH(LEFT(H100,FIND(" ",H100&amp;" ")-1),I100)),"Fuzzy",IF(ISNUMBER(SEARCH(SUBSTITUTE(H100," ",""),SUBSTITUTE(I100," ",""))),"Fuzzy","No")))))</f>
        <v>Exact</v>
      </c>
      <c r="K100" s="15" t="str">
        <f aca="false">IF(D100="","N/A",IF(AND(D100&gt;=0,D100&lt;=Settings!$C$6),"Yes","OUT OF WINDOW"))</f>
        <v>Yes</v>
      </c>
      <c r="L100" s="15" t="str">
        <f aca="false">IF(F100="","❌ Missing in Bank",IF(G100&gt;Settings!$C$7,"⚠ Amount Mismatch",IF(K100="OUT OF WINDOW","⏰ Late Settlement",IF(J100="No","⚠ Reference Mismatch","✅ Matched"))))</f>
        <v>✅ Matched</v>
      </c>
    </row>
    <row r="101" customFormat="false" ht="15" hidden="false" customHeight="false" outlineLevel="0" collapsed="false">
      <c r="A101" s="15" t="str">
        <f aca="false">'Internal Transactions'!A101</f>
        <v>SEPA-2025-1099</v>
      </c>
      <c r="B101" s="18" t="n">
        <f aca="false">'Internal Transactions'!B101</f>
        <v>45939.5833333333</v>
      </c>
      <c r="C101" s="18" t="n">
        <f aca="false">IFERROR(VLOOKUP(A101,'Bank Statement'!A:B,2,FALSE()),"")</f>
        <v>45942</v>
      </c>
      <c r="D101" s="15" t="n">
        <f aca="false">IF(C101="","",INT(C101-B101))</f>
        <v>2</v>
      </c>
      <c r="E101" s="17" t="n">
        <f aca="false">'Internal Transactions'!C101</f>
        <v>613.44</v>
      </c>
      <c r="F101" s="17" t="n">
        <f aca="false">IFERROR(VLOOKUP(A101,'Bank Statement'!A:C,3,FALSE()),"")</f>
        <v>613.44</v>
      </c>
      <c r="G101" s="17" t="n">
        <f aca="false">IF(F101="","",ABS(F101-E101))</f>
        <v>0</v>
      </c>
      <c r="H101" s="15" t="str">
        <f aca="false">'Internal Transactions'!H101</f>
        <v>Action B.V.</v>
      </c>
      <c r="I101" s="15" t="str">
        <f aca="false">IFERROR(VLOOKUP(A101,'Bank Statement'!A:G,7,FALSE()),"")</f>
        <v>Action B.V.</v>
      </c>
      <c r="J101" s="15" t="str">
        <f aca="false">IF(I101="","N/A",IF(Settings!$C$10="FALSE",IF(EXACT(UPPER(H101),UPPER(I101)),"Exact","No"),IF(EXACT(UPPER(H101),UPPER(I101)),"Exact",IF(ISNUMBER(SEARCH(LEFT(H101,FIND(" ",H101&amp;" ")-1),I101)),"Fuzzy",IF(ISNUMBER(SEARCH(SUBSTITUTE(H101," ",""),SUBSTITUTE(I101," ",""))),"Fuzzy","No")))))</f>
        <v>Exact</v>
      </c>
      <c r="K101" s="15" t="str">
        <f aca="false">IF(D101="","N/A",IF(AND(D101&gt;=0,D101&lt;=Settings!$C$6),"Yes","OUT OF WINDOW"))</f>
        <v>Yes</v>
      </c>
      <c r="L101" s="15" t="str">
        <f aca="false">IF(F101="","❌ Missing in Bank",IF(G101&gt;Settings!$C$7,"⚠ Amount Mismatch",IF(K101="OUT OF WINDOW","⏰ Late Settlement",IF(J101="No","⚠ Reference Mismatch","✅ Matched"))))</f>
        <v>✅ Matched</v>
      </c>
    </row>
    <row r="102" customFormat="false" ht="15" hidden="false" customHeight="false" outlineLevel="0" collapsed="false">
      <c r="A102" s="15" t="s">
        <v>410</v>
      </c>
      <c r="B102" s="18" t="s">
        <v>448</v>
      </c>
      <c r="C102" s="18" t="n">
        <v>45955</v>
      </c>
      <c r="D102" s="15" t="s">
        <v>448</v>
      </c>
      <c r="E102" s="15" t="s">
        <v>448</v>
      </c>
      <c r="F102" s="17" t="n">
        <v>280.15</v>
      </c>
      <c r="G102" s="15" t="s">
        <v>448</v>
      </c>
      <c r="H102" s="15" t="s">
        <v>448</v>
      </c>
      <c r="I102" s="15" t="s">
        <v>413</v>
      </c>
      <c r="J102" s="15" t="s">
        <v>448</v>
      </c>
      <c r="K102" s="15" t="s">
        <v>448</v>
      </c>
      <c r="L102" s="15" t="s">
        <v>449</v>
      </c>
    </row>
    <row r="103" customFormat="false" ht="15" hidden="false" customHeight="false" outlineLevel="0" collapsed="false">
      <c r="A103" s="15" t="s">
        <v>418</v>
      </c>
      <c r="B103" s="18" t="s">
        <v>448</v>
      </c>
      <c r="C103" s="18" t="n">
        <v>45958</v>
      </c>
      <c r="D103" s="15" t="s">
        <v>448</v>
      </c>
      <c r="E103" s="15" t="s">
        <v>448</v>
      </c>
      <c r="F103" s="17" t="n">
        <v>115.36</v>
      </c>
      <c r="G103" s="15" t="s">
        <v>448</v>
      </c>
      <c r="H103" s="15" t="s">
        <v>448</v>
      </c>
      <c r="I103" s="15" t="s">
        <v>413</v>
      </c>
      <c r="J103" s="15" t="s">
        <v>448</v>
      </c>
      <c r="K103" s="15" t="s">
        <v>448</v>
      </c>
      <c r="L103" s="15" t="s">
        <v>449</v>
      </c>
    </row>
    <row r="104" customFormat="false" ht="15" hidden="false" customHeight="false" outlineLevel="0" collapsed="false">
      <c r="A104" s="15" t="s">
        <v>427</v>
      </c>
      <c r="B104" s="18" t="s">
        <v>448</v>
      </c>
      <c r="C104" s="18" t="n">
        <v>45945</v>
      </c>
      <c r="D104" s="15" t="s">
        <v>448</v>
      </c>
      <c r="E104" s="15" t="s">
        <v>448</v>
      </c>
      <c r="F104" s="17" t="n">
        <v>445.16</v>
      </c>
      <c r="G104" s="15" t="s">
        <v>448</v>
      </c>
      <c r="H104" s="15" t="s">
        <v>448</v>
      </c>
      <c r="I104" s="15" t="s">
        <v>413</v>
      </c>
      <c r="J104" s="15" t="s">
        <v>448</v>
      </c>
      <c r="K104" s="15" t="s">
        <v>448</v>
      </c>
      <c r="L104" s="15" t="s">
        <v>449</v>
      </c>
    </row>
  </sheetData>
  <conditionalFormatting sqref="L2:L104">
    <cfRule type="expression" priority="2" aboveAverage="0" equalAverage="0" bottom="0" percent="0" rank="0" text="" dxfId="0">
      <formula>ISNUMBER(SEARCH("Matched",L2))</formula>
    </cfRule>
    <cfRule type="expression" priority="3" aboveAverage="0" equalAverage="0" bottom="0" percent="0" rank="0" text="" dxfId="1">
      <formula>ISNUMBER(SEARCH("Missing",L2))</formula>
    </cfRule>
    <cfRule type="expression" priority="4" aboveAverage="0" equalAverage="0" bottom="0" percent="0" rank="0" text="" dxfId="1">
      <formula>ISNUMBER(SEARCH("Phantom",L2))</formula>
    </cfRule>
    <cfRule type="expression" priority="5" aboveAverage="0" equalAverage="0" bottom="0" percent="0" rank="0" text="" dxfId="2">
      <formula>ISNUMBER(SEARCH("Amount",L2))</formula>
    </cfRule>
    <cfRule type="expression" priority="6" aboveAverage="0" equalAverage="0" bottom="0" percent="0" rank="0" text="" dxfId="2">
      <formula>ISNUMBER(SEARCH("Reference",L2))</formula>
    </cfRule>
    <cfRule type="expression" priority="7" aboveAverage="0" equalAverage="0" bottom="0" percent="0" rank="0" text="" dxfId="3">
      <formula>ISNUMBER(SEARCH("Late",L2))</formula>
    </cfRule>
  </conditionalFormatting>
  <conditionalFormatting sqref="J2:J104">
    <cfRule type="cellIs" priority="8" operator="equal" aboveAverage="0" equalAverage="0" bottom="0" percent="0" rank="0" text="" dxfId="0">
      <formula>"Exact"</formula>
    </cfRule>
    <cfRule type="cellIs" priority="9" operator="equal" aboveAverage="0" equalAverage="0" bottom="0" percent="0" rank="0" text="" dxfId="3">
      <formula>"Fuzzy"</formula>
    </cfRule>
    <cfRule type="cellIs" priority="10" operator="equal" aboveAverage="0" equalAverage="0" bottom="0" percent="0" rank="0" text="" dxfId="1">
      <formula>"No"</formula>
    </cfRule>
  </conditionalFormatting>
  <conditionalFormatting sqref="K2:K104">
    <cfRule type="cellIs" priority="11" operator="equal" aboveAverage="0" equalAverage="0" bottom="0" percent="0" rank="0" text="" dxfId="0">
      <formula>"Yes"</formula>
    </cfRule>
    <cfRule type="cellIs" priority="12" operator="equal" aboveAverage="0" equalAverage="0" bottom="0" percent="0" rank="0" text="" dxfId="1">
      <formula>"OUT OF WINDOW"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4"/>
    <col collapsed="false" customWidth="true" hidden="false" outlineLevel="0" max="8" min="8" style="0" width="26"/>
    <col collapsed="false" customWidth="true" hidden="false" outlineLevel="0" max="9" min="9" style="0" width="16"/>
  </cols>
  <sheetData>
    <row r="2" customFormat="false" ht="24.45" hidden="false" customHeight="false" outlineLevel="0" collapsed="false">
      <c r="B2" s="19" t="s">
        <v>450</v>
      </c>
    </row>
    <row r="3" customFormat="false" ht="15" hidden="false" customHeight="false" outlineLevel="0" collapsed="false">
      <c r="B3" s="6" t="s">
        <v>451</v>
      </c>
    </row>
    <row r="5" customFormat="false" ht="15" hidden="false" customHeight="false" outlineLevel="0" collapsed="false">
      <c r="B5" s="4" t="s">
        <v>452</v>
      </c>
    </row>
    <row r="6" customFormat="false" ht="15" hidden="false" customHeight="false" outlineLevel="0" collapsed="false">
      <c r="B6" s="20" t="str">
        <f aca="false">IF(H11&gt;=Settings!$C$8,"✅ HEALTHY — match rate "&amp;TEXT(H11,"0.0%")&amp;" is at or above target of "&amp;TEXT(Settings!$C$8,"0.0%"),IF(H11&gt;=Settings!$C$9,"⚠ WARNING — match rate "&amp;TEXT(H11,"0.0%")&amp;" is below target of "&amp;TEXT(Settings!$C$8,"0.0%")&amp;". Investigate exceptions.","🚨 CRITICAL — match rate "&amp;TEXT(H11,"0.0%")&amp;" is below warning threshold of "&amp;TEXT(Settings!$C$9,"0.0%")&amp;". Immediate action required."))</f>
        <v>🚨 CRITICAL — match rate 80.0% is below warning threshold of 85.0%. Immediate action required.</v>
      </c>
      <c r="C6" s="20"/>
      <c r="D6" s="20"/>
      <c r="E6" s="20"/>
      <c r="F6" s="20"/>
      <c r="G6" s="20"/>
      <c r="H6" s="20"/>
      <c r="I6" s="20"/>
    </row>
    <row r="7" customFormat="false" ht="15" hidden="false" customHeight="false" outlineLevel="0" collapsed="false">
      <c r="B7" s="20"/>
      <c r="C7" s="20"/>
      <c r="D7" s="20"/>
      <c r="E7" s="20"/>
      <c r="F7" s="20"/>
      <c r="G7" s="20"/>
      <c r="H7" s="20"/>
      <c r="I7" s="20"/>
    </row>
    <row r="9" customFormat="false" ht="15" hidden="false" customHeight="false" outlineLevel="0" collapsed="false">
      <c r="B9" s="4" t="s">
        <v>453</v>
      </c>
    </row>
    <row r="10" customFormat="false" ht="15" hidden="false" customHeight="false" outlineLevel="0" collapsed="false">
      <c r="B10" s="21" t="s">
        <v>454</v>
      </c>
      <c r="E10" s="21" t="s">
        <v>455</v>
      </c>
      <c r="H10" s="21" t="s">
        <v>456</v>
      </c>
    </row>
    <row r="11" customFormat="false" ht="26.8" hidden="false" customHeight="false" outlineLevel="0" collapsed="false">
      <c r="B11" s="22" t="n">
        <f aca="false">COUNTA('Internal Transactions'!A2:A101)</f>
        <v>100</v>
      </c>
      <c r="E11" s="23" t="n">
        <f aca="false">SUM('Internal Transactions'!C2:C101)</f>
        <v>111122.46</v>
      </c>
      <c r="H11" s="24" t="n">
        <f aca="false">COUNTIF(Reconciliation!L2:L101,"✅ Matched")/COUNTA('Internal Transactions'!A2:A101)</f>
        <v>0.8</v>
      </c>
    </row>
    <row r="13" customFormat="false" ht="15" hidden="false" customHeight="false" outlineLevel="0" collapsed="false">
      <c r="B13" s="21" t="s">
        <v>457</v>
      </c>
      <c r="E13" s="21" t="s">
        <v>458</v>
      </c>
      <c r="H13" s="21" t="s">
        <v>459</v>
      </c>
    </row>
    <row r="14" customFormat="false" ht="26.8" hidden="false" customHeight="false" outlineLevel="0" collapsed="false">
      <c r="B14" s="25" t="n">
        <f aca="false">COUNTIF(Reconciliation!L2:L101,"✅ Matched")</f>
        <v>80</v>
      </c>
      <c r="E14" s="26" t="n">
        <f aca="false">COUNTIF(Reconciliation!L2:L101,"❌ Missing in Bank")</f>
        <v>6</v>
      </c>
      <c r="H14" s="26" t="n">
        <f aca="false">COUNTIF(Reconciliation!L102:L104,"🚨 Phantom (in bank, not internal)")</f>
        <v>3</v>
      </c>
    </row>
    <row r="16" customFormat="false" ht="15" hidden="false" customHeight="false" outlineLevel="0" collapsed="false">
      <c r="B16" s="21" t="s">
        <v>460</v>
      </c>
      <c r="E16" s="21" t="s">
        <v>461</v>
      </c>
      <c r="H16" s="21" t="s">
        <v>462</v>
      </c>
    </row>
    <row r="17" customFormat="false" ht="26.8" hidden="false" customHeight="false" outlineLevel="0" collapsed="false">
      <c r="B17" s="27" t="n">
        <f aca="false">COUNTIF(Reconciliation!L2:L101,"⚠ Amount Mismatch")</f>
        <v>2</v>
      </c>
      <c r="E17" s="28" t="n">
        <f aca="false">COUNTIF(Reconciliation!L2:L101,"⏰ Late Settlement")</f>
        <v>12</v>
      </c>
      <c r="H17" s="27" t="n">
        <f aca="false">COUNTIF(Reconciliation!L2:L101,"⚠ Reference Mismatch")</f>
        <v>0</v>
      </c>
    </row>
    <row r="20" customFormat="false" ht="15" hidden="false" customHeight="false" outlineLevel="0" collapsed="false">
      <c r="B20" s="4" t="s">
        <v>463</v>
      </c>
      <c r="H20" s="4" t="s">
        <v>464</v>
      </c>
    </row>
    <row r="22" customFormat="false" ht="15" hidden="false" customHeight="false" outlineLevel="0" collapsed="false">
      <c r="B22" s="7" t="s">
        <v>465</v>
      </c>
      <c r="C22" s="7" t="s">
        <v>466</v>
      </c>
      <c r="D22" s="29" t="s">
        <v>467</v>
      </c>
      <c r="E22" s="29"/>
      <c r="H22" s="7" t="s">
        <v>63</v>
      </c>
      <c r="I22" s="7" t="s">
        <v>466</v>
      </c>
    </row>
    <row r="23" customFormat="false" ht="15" hidden="false" customHeight="false" outlineLevel="0" collapsed="false">
      <c r="B23" s="15" t="s">
        <v>468</v>
      </c>
      <c r="C23" s="15" t="n">
        <f aca="false">COUNTIFS(Reconciliation!D2:D101,"&gt;="&amp;0,Reconciliation!D2:D101,"&lt;="&amp;0)</f>
        <v>5</v>
      </c>
      <c r="D23" s="30" t="n">
        <f aca="false">IFERROR(C23/SUM($C$23:$C$27),0)</f>
        <v>0.0531914893617021</v>
      </c>
      <c r="E23" s="30"/>
      <c r="H23" s="15" t="s">
        <v>69</v>
      </c>
      <c r="I23" s="15" t="n">
        <f aca="false">COUNTIF('Internal Transactions'!G2:G101,"Settled")</f>
        <v>70</v>
      </c>
    </row>
    <row r="24" customFormat="false" ht="15" hidden="false" customHeight="false" outlineLevel="0" collapsed="false">
      <c r="B24" s="15" t="s">
        <v>469</v>
      </c>
      <c r="C24" s="15" t="n">
        <f aca="false">COUNTIFS(Reconciliation!D2:D101,"&gt;="&amp;1,Reconciliation!D2:D101,"&lt;="&amp;1)</f>
        <v>43</v>
      </c>
      <c r="D24" s="30" t="n">
        <f aca="false">IFERROR(C24/SUM($C$23:$C$27),0)</f>
        <v>0.457446808510638</v>
      </c>
      <c r="E24" s="30"/>
      <c r="H24" s="15" t="s">
        <v>89</v>
      </c>
      <c r="I24" s="15" t="n">
        <f aca="false">COUNTIF('Internal Transactions'!G2:G101,"Pending")</f>
        <v>10</v>
      </c>
    </row>
    <row r="25" customFormat="false" ht="15" hidden="false" customHeight="false" outlineLevel="0" collapsed="false">
      <c r="B25" s="15" t="s">
        <v>470</v>
      </c>
      <c r="C25" s="15" t="n">
        <f aca="false">COUNTIFS(Reconciliation!D2:D101,"&gt;="&amp;2,Reconciliation!D2:D101,"&lt;="&amp;2)</f>
        <v>23</v>
      </c>
      <c r="D25" s="30" t="n">
        <f aca="false">IFERROR(C25/SUM($C$23:$C$27),0)</f>
        <v>0.24468085106383</v>
      </c>
      <c r="E25" s="30"/>
      <c r="H25" s="15" t="s">
        <v>127</v>
      </c>
      <c r="I25" s="15" t="n">
        <f aca="false">COUNTIF('Internal Transactions'!G2:G101,"Failed")</f>
        <v>6</v>
      </c>
    </row>
    <row r="26" customFormat="false" ht="15" hidden="false" customHeight="false" outlineLevel="0" collapsed="false">
      <c r="B26" s="15" t="s">
        <v>471</v>
      </c>
      <c r="C26" s="15" t="n">
        <f aca="false">COUNTIFS(Reconciliation!D2:D101,"&gt;="&amp;3,Reconciliation!D2:D101,"&lt;="&amp;3)</f>
        <v>11</v>
      </c>
      <c r="D26" s="30" t="n">
        <f aca="false">IFERROR(C26/SUM($C$23:$C$27),0)</f>
        <v>0.117021276595745</v>
      </c>
      <c r="E26" s="30"/>
      <c r="H26" s="15" t="s">
        <v>94</v>
      </c>
      <c r="I26" s="15" t="n">
        <f aca="false">COUNTIF('Internal Transactions'!G2:G101,"Returned")</f>
        <v>14</v>
      </c>
    </row>
    <row r="27" customFormat="false" ht="15" hidden="false" customHeight="false" outlineLevel="0" collapsed="false">
      <c r="B27" s="15" t="s">
        <v>472</v>
      </c>
      <c r="C27" s="15" t="n">
        <f aca="false">COUNTIFS(Reconciliation!D2:D101,"&gt;="&amp;4)</f>
        <v>12</v>
      </c>
      <c r="D27" s="30" t="n">
        <f aca="false">IFERROR(C27/SUM($C$23:$C$27),0)</f>
        <v>0.127659574468085</v>
      </c>
      <c r="E27" s="30"/>
    </row>
  </sheetData>
  <mergeCells count="7">
    <mergeCell ref="B6:I7"/>
    <mergeCell ref="D22:E22"/>
    <mergeCell ref="D23:E23"/>
    <mergeCell ref="D24:E24"/>
    <mergeCell ref="D25:E25"/>
    <mergeCell ref="D26:E26"/>
    <mergeCell ref="D27:E27"/>
  </mergeCells>
  <conditionalFormatting sqref="B6">
    <cfRule type="expression" priority="2" aboveAverage="0" equalAverage="0" bottom="0" percent="0" rank="0" text="" dxfId="4">
      <formula>ISNUMBER(SEARCH("HEALTHY",B6))</formula>
    </cfRule>
    <cfRule type="expression" priority="3" aboveAverage="0" equalAverage="0" bottom="0" percent="0" rank="0" text="" dxfId="5">
      <formula>ISNUMBER(SEARCH("WARNING",B6))</formula>
    </cfRule>
    <cfRule type="expression" priority="4" aboveAverage="0" equalAverage="0" bottom="0" percent="0" rank="0" text="" dxfId="6">
      <formula>ISNUMBER(SEARCH("CRITICAL",B6))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31" t="s">
        <v>473</v>
      </c>
    </row>
    <row r="2" customFormat="false" ht="15" hidden="false" customHeight="false" outlineLevel="0" collapsed="false">
      <c r="A2" s="6" t="s">
        <v>474</v>
      </c>
    </row>
    <row r="4" customFormat="false" ht="15" hidden="false" customHeight="false" outlineLevel="0" collapsed="false">
      <c r="A4" s="14" t="s">
        <v>475</v>
      </c>
      <c r="B4" s="14" t="s">
        <v>57</v>
      </c>
      <c r="C4" s="14" t="s">
        <v>476</v>
      </c>
      <c r="D4" s="14" t="s">
        <v>440</v>
      </c>
      <c r="E4" s="14" t="s">
        <v>441</v>
      </c>
      <c r="F4" s="14" t="s">
        <v>442</v>
      </c>
      <c r="G4" s="14" t="s">
        <v>477</v>
      </c>
      <c r="H4" s="14" t="s">
        <v>478</v>
      </c>
    </row>
    <row r="5" customFormat="false" ht="15" hidden="false" customHeight="false" outlineLevel="0" collapsed="false">
      <c r="A5" s="15" t="str">
        <f aca="false">IF(Reconciliation!L2="✅ Matched","",IF(ISNUMBER(SEARCH("Missing",Reconciliation!L2)),"🔴 HIGH",IF(ISNUMBER(SEARCH("Phantom",Reconciliation!L2)),"🔴 HIGH",IF(ISNUMBER(SEARCH("Amount",Reconciliation!L2)),"🟡 MED",IF(ISNUMBER(SEARCH("Reference",Reconciliation!L2)),"🟡 MED",IF(ISNUMBER(SEARCH("Late",Reconciliation!L2)),"🔵 LOW",""))))))</f>
        <v>🔴 HIGH</v>
      </c>
      <c r="B5" s="15" t="str">
        <f aca="false">IF(Reconciliation!L2="✅ Matched","",Reconciliation!A2)</f>
        <v>SEPA-2025-1000</v>
      </c>
      <c r="C5" s="15" t="str">
        <f aca="false">IF(Reconciliation!L2="✅ Matched","",Reconciliation!L2)</f>
        <v>❌ Missing in Bank</v>
      </c>
      <c r="D5" s="17" t="n">
        <f aca="false">IF(Reconciliation!L2="✅ Matched","",Reconciliation!E2)</f>
        <v>67.4</v>
      </c>
      <c r="E5" s="17" t="str">
        <f aca="false">IF(Reconciliation!L2="✅ Matched","",Reconciliation!F2)</f>
        <v/>
      </c>
      <c r="F5" s="17" t="str">
        <f aca="false">IF(Reconciliation!L2="✅ Matched","",Reconciliation!G2)</f>
        <v/>
      </c>
      <c r="G5" s="15" t="str">
        <f aca="false">IF(Reconciliation!L2="✅ Matched","",Reconciliation!D2)</f>
        <v/>
      </c>
      <c r="H5" s="15" t="str">
        <f aca="false">IF(Reconciliation!L2="✅ Matched","",IF(Reconciliation!J2="No",Reconciliation!I2,""))</f>
        <v/>
      </c>
    </row>
    <row r="6" customFormat="false" ht="15" hidden="false" customHeight="false" outlineLevel="0" collapsed="false">
      <c r="A6" s="15" t="str">
        <f aca="false">IF(Reconciliation!L3="✅ Matched","",IF(ISNUMBER(SEARCH("Missing",Reconciliation!L3)),"🔴 HIGH",IF(ISNUMBER(SEARCH("Phantom",Reconciliation!L3)),"🔴 HIGH",IF(ISNUMBER(SEARCH("Amount",Reconciliation!L3)),"🟡 MED",IF(ISNUMBER(SEARCH("Reference",Reconciliation!L3)),"🟡 MED",IF(ISNUMBER(SEARCH("Late",Reconciliation!L3)),"🔵 LOW",""))))))</f>
        <v/>
      </c>
      <c r="B6" s="15" t="str">
        <f aca="false">IF(Reconciliation!L3="✅ Matched","",Reconciliation!A3)</f>
        <v/>
      </c>
      <c r="C6" s="15" t="str">
        <f aca="false">IF(Reconciliation!L3="✅ Matched","",Reconciliation!L3)</f>
        <v/>
      </c>
      <c r="D6" s="17" t="str">
        <f aca="false">IF(Reconciliation!L3="✅ Matched","",Reconciliation!E3)</f>
        <v/>
      </c>
      <c r="E6" s="17" t="str">
        <f aca="false">IF(Reconciliation!L3="✅ Matched","",Reconciliation!F3)</f>
        <v/>
      </c>
      <c r="F6" s="17" t="str">
        <f aca="false">IF(Reconciliation!L3="✅ Matched","",Reconciliation!G3)</f>
        <v/>
      </c>
      <c r="G6" s="15" t="str">
        <f aca="false">IF(Reconciliation!L3="✅ Matched","",Reconciliation!D3)</f>
        <v/>
      </c>
      <c r="H6" s="15" t="str">
        <f aca="false">IF(Reconciliation!L3="✅ Matched","",IF(Reconciliation!J3="No",Reconciliation!I3,""))</f>
        <v/>
      </c>
    </row>
    <row r="7" customFormat="false" ht="15" hidden="false" customHeight="false" outlineLevel="0" collapsed="false">
      <c r="A7" s="15" t="str">
        <f aca="false">IF(Reconciliation!L4="✅ Matched","",IF(ISNUMBER(SEARCH("Missing",Reconciliation!L4)),"🔴 HIGH",IF(ISNUMBER(SEARCH("Phantom",Reconciliation!L4)),"🔴 HIGH",IF(ISNUMBER(SEARCH("Amount",Reconciliation!L4)),"🟡 MED",IF(ISNUMBER(SEARCH("Reference",Reconciliation!L4)),"🟡 MED",IF(ISNUMBER(SEARCH("Late",Reconciliation!L4)),"🔵 LOW",""))))))</f>
        <v/>
      </c>
      <c r="B7" s="15" t="str">
        <f aca="false">IF(Reconciliation!L4="✅ Matched","",Reconciliation!A4)</f>
        <v/>
      </c>
      <c r="C7" s="15" t="str">
        <f aca="false">IF(Reconciliation!L4="✅ Matched","",Reconciliation!L4)</f>
        <v/>
      </c>
      <c r="D7" s="17" t="str">
        <f aca="false">IF(Reconciliation!L4="✅ Matched","",Reconciliation!E4)</f>
        <v/>
      </c>
      <c r="E7" s="17" t="str">
        <f aca="false">IF(Reconciliation!L4="✅ Matched","",Reconciliation!F4)</f>
        <v/>
      </c>
      <c r="F7" s="17" t="str">
        <f aca="false">IF(Reconciliation!L4="✅ Matched","",Reconciliation!G4)</f>
        <v/>
      </c>
      <c r="G7" s="15" t="str">
        <f aca="false">IF(Reconciliation!L4="✅ Matched","",Reconciliation!D4)</f>
        <v/>
      </c>
      <c r="H7" s="15" t="str">
        <f aca="false">IF(Reconciliation!L4="✅ Matched","",IF(Reconciliation!J4="No",Reconciliation!I4,""))</f>
        <v/>
      </c>
    </row>
    <row r="8" customFormat="false" ht="15" hidden="false" customHeight="false" outlineLevel="0" collapsed="false">
      <c r="A8" s="15" t="str">
        <f aca="false">IF(Reconciliation!L5="✅ Matched","",IF(ISNUMBER(SEARCH("Missing",Reconciliation!L5)),"🔴 HIGH",IF(ISNUMBER(SEARCH("Phantom",Reconciliation!L5)),"🔴 HIGH",IF(ISNUMBER(SEARCH("Amount",Reconciliation!L5)),"🟡 MED",IF(ISNUMBER(SEARCH("Reference",Reconciliation!L5)),"🟡 MED",IF(ISNUMBER(SEARCH("Late",Reconciliation!L5)),"🔵 LOW",""))))))</f>
        <v/>
      </c>
      <c r="B8" s="15" t="str">
        <f aca="false">IF(Reconciliation!L5="✅ Matched","",Reconciliation!A5)</f>
        <v/>
      </c>
      <c r="C8" s="15" t="str">
        <f aca="false">IF(Reconciliation!L5="✅ Matched","",Reconciliation!L5)</f>
        <v/>
      </c>
      <c r="D8" s="17" t="str">
        <f aca="false">IF(Reconciliation!L5="✅ Matched","",Reconciliation!E5)</f>
        <v/>
      </c>
      <c r="E8" s="17" t="str">
        <f aca="false">IF(Reconciliation!L5="✅ Matched","",Reconciliation!F5)</f>
        <v/>
      </c>
      <c r="F8" s="17" t="str">
        <f aca="false">IF(Reconciliation!L5="✅ Matched","",Reconciliation!G5)</f>
        <v/>
      </c>
      <c r="G8" s="15" t="str">
        <f aca="false">IF(Reconciliation!L5="✅ Matched","",Reconciliation!D5)</f>
        <v/>
      </c>
      <c r="H8" s="15" t="str">
        <f aca="false">IF(Reconciliation!L5="✅ Matched","",IF(Reconciliation!J5="No",Reconciliation!I5,""))</f>
        <v/>
      </c>
    </row>
    <row r="9" customFormat="false" ht="15" hidden="false" customHeight="false" outlineLevel="0" collapsed="false">
      <c r="A9" s="15" t="str">
        <f aca="false">IF(Reconciliation!L6="✅ Matched","",IF(ISNUMBER(SEARCH("Missing",Reconciliation!L6)),"🔴 HIGH",IF(ISNUMBER(SEARCH("Phantom",Reconciliation!L6)),"🔴 HIGH",IF(ISNUMBER(SEARCH("Amount",Reconciliation!L6)),"🟡 MED",IF(ISNUMBER(SEARCH("Reference",Reconciliation!L6)),"🟡 MED",IF(ISNUMBER(SEARCH("Late",Reconciliation!L6)),"🔵 LOW",""))))))</f>
        <v/>
      </c>
      <c r="B9" s="15" t="str">
        <f aca="false">IF(Reconciliation!L6="✅ Matched","",Reconciliation!A6)</f>
        <v/>
      </c>
      <c r="C9" s="15" t="str">
        <f aca="false">IF(Reconciliation!L6="✅ Matched","",Reconciliation!L6)</f>
        <v/>
      </c>
      <c r="D9" s="17" t="str">
        <f aca="false">IF(Reconciliation!L6="✅ Matched","",Reconciliation!E6)</f>
        <v/>
      </c>
      <c r="E9" s="17" t="str">
        <f aca="false">IF(Reconciliation!L6="✅ Matched","",Reconciliation!F6)</f>
        <v/>
      </c>
      <c r="F9" s="17" t="str">
        <f aca="false">IF(Reconciliation!L6="✅ Matched","",Reconciliation!G6)</f>
        <v/>
      </c>
      <c r="G9" s="15" t="str">
        <f aca="false">IF(Reconciliation!L6="✅ Matched","",Reconciliation!D6)</f>
        <v/>
      </c>
      <c r="H9" s="15" t="str">
        <f aca="false">IF(Reconciliation!L6="✅ Matched","",IF(Reconciliation!J6="No",Reconciliation!I6,""))</f>
        <v/>
      </c>
    </row>
    <row r="10" customFormat="false" ht="15" hidden="false" customHeight="false" outlineLevel="0" collapsed="false">
      <c r="A10" s="15" t="str">
        <f aca="false">IF(Reconciliation!L7="✅ Matched","",IF(ISNUMBER(SEARCH("Missing",Reconciliation!L7)),"🔴 HIGH",IF(ISNUMBER(SEARCH("Phantom",Reconciliation!L7)),"🔴 HIGH",IF(ISNUMBER(SEARCH("Amount",Reconciliation!L7)),"🟡 MED",IF(ISNUMBER(SEARCH("Reference",Reconciliation!L7)),"🟡 MED",IF(ISNUMBER(SEARCH("Late",Reconciliation!L7)),"🔵 LOW",""))))))</f>
        <v>🔵 LOW</v>
      </c>
      <c r="B10" s="15" t="str">
        <f aca="false">IF(Reconciliation!L7="✅ Matched","",Reconciliation!A7)</f>
        <v>SEPA-2025-1005</v>
      </c>
      <c r="C10" s="15" t="str">
        <f aca="false">IF(Reconciliation!L7="✅ Matched","",Reconciliation!L7)</f>
        <v>⏰ Late Settlement</v>
      </c>
      <c r="D10" s="17" t="n">
        <f aca="false">IF(Reconciliation!L7="✅ Matched","",Reconciliation!E7)</f>
        <v>1511.3</v>
      </c>
      <c r="E10" s="17" t="n">
        <f aca="false">IF(Reconciliation!L7="✅ Matched","",Reconciliation!F7)</f>
        <v>1511.3</v>
      </c>
      <c r="F10" s="17" t="n">
        <f aca="false">IF(Reconciliation!L7="✅ Matched","",Reconciliation!G7)</f>
        <v>0</v>
      </c>
      <c r="G10" s="15" t="n">
        <f aca="false">IF(Reconciliation!L7="✅ Matched","",Reconciliation!D7)</f>
        <v>5</v>
      </c>
      <c r="H10" s="15" t="str">
        <f aca="false">IF(Reconciliation!L7="✅ Matched","",IF(Reconciliation!J7="No",Reconciliation!I7,""))</f>
        <v/>
      </c>
    </row>
    <row r="11" customFormat="false" ht="15" hidden="false" customHeight="false" outlineLevel="0" collapsed="false">
      <c r="A11" s="15" t="str">
        <f aca="false">IF(Reconciliation!L8="✅ Matched","",IF(ISNUMBER(SEARCH("Missing",Reconciliation!L8)),"🔴 HIGH",IF(ISNUMBER(SEARCH("Phantom",Reconciliation!L8)),"🔴 HIGH",IF(ISNUMBER(SEARCH("Amount",Reconciliation!L8)),"🟡 MED",IF(ISNUMBER(SEARCH("Reference",Reconciliation!L8)),"🟡 MED",IF(ISNUMBER(SEARCH("Late",Reconciliation!L8)),"🔵 LOW",""))))))</f>
        <v/>
      </c>
      <c r="B11" s="15" t="str">
        <f aca="false">IF(Reconciliation!L8="✅ Matched","",Reconciliation!A8)</f>
        <v/>
      </c>
      <c r="C11" s="15" t="str">
        <f aca="false">IF(Reconciliation!L8="✅ Matched","",Reconciliation!L8)</f>
        <v/>
      </c>
      <c r="D11" s="17" t="str">
        <f aca="false">IF(Reconciliation!L8="✅ Matched","",Reconciliation!E8)</f>
        <v/>
      </c>
      <c r="E11" s="17" t="str">
        <f aca="false">IF(Reconciliation!L8="✅ Matched","",Reconciliation!F8)</f>
        <v/>
      </c>
      <c r="F11" s="17" t="str">
        <f aca="false">IF(Reconciliation!L8="✅ Matched","",Reconciliation!G8)</f>
        <v/>
      </c>
      <c r="G11" s="15" t="str">
        <f aca="false">IF(Reconciliation!L8="✅ Matched","",Reconciliation!D8)</f>
        <v/>
      </c>
      <c r="H11" s="15" t="str">
        <f aca="false">IF(Reconciliation!L8="✅ Matched","",IF(Reconciliation!J8="No",Reconciliation!I8,""))</f>
        <v/>
      </c>
    </row>
    <row r="12" customFormat="false" ht="15" hidden="false" customHeight="false" outlineLevel="0" collapsed="false">
      <c r="A12" s="15" t="str">
        <f aca="false">IF(Reconciliation!L9="✅ Matched","",IF(ISNUMBER(SEARCH("Missing",Reconciliation!L9)),"🔴 HIGH",IF(ISNUMBER(SEARCH("Phantom",Reconciliation!L9)),"🔴 HIGH",IF(ISNUMBER(SEARCH("Amount",Reconciliation!L9)),"🟡 MED",IF(ISNUMBER(SEARCH("Reference",Reconciliation!L9)),"🟡 MED",IF(ISNUMBER(SEARCH("Late",Reconciliation!L9)),"🔵 LOW",""))))))</f>
        <v>🔵 LOW</v>
      </c>
      <c r="B12" s="15" t="str">
        <f aca="false">IF(Reconciliation!L9="✅ Matched","",Reconciliation!A9)</f>
        <v>SEPA-2025-1007</v>
      </c>
      <c r="C12" s="15" t="str">
        <f aca="false">IF(Reconciliation!L9="✅ Matched","",Reconciliation!L9)</f>
        <v>⏰ Late Settlement</v>
      </c>
      <c r="D12" s="17" t="n">
        <f aca="false">IF(Reconciliation!L9="✅ Matched","",Reconciliation!E9)</f>
        <v>178.54</v>
      </c>
      <c r="E12" s="17" t="n">
        <f aca="false">IF(Reconciliation!L9="✅ Matched","",Reconciliation!F9)</f>
        <v>178.54</v>
      </c>
      <c r="F12" s="17" t="n">
        <f aca="false">IF(Reconciliation!L9="✅ Matched","",Reconciliation!G9)</f>
        <v>0</v>
      </c>
      <c r="G12" s="15" t="n">
        <f aca="false">IF(Reconciliation!L9="✅ Matched","",Reconciliation!D9)</f>
        <v>5</v>
      </c>
      <c r="H12" s="15" t="str">
        <f aca="false">IF(Reconciliation!L9="✅ Matched","",IF(Reconciliation!J9="No",Reconciliation!I9,""))</f>
        <v/>
      </c>
    </row>
    <row r="13" customFormat="false" ht="15" hidden="false" customHeight="false" outlineLevel="0" collapsed="false">
      <c r="A13" s="15" t="str">
        <f aca="false">IF(Reconciliation!L10="✅ Matched","",IF(ISNUMBER(SEARCH("Missing",Reconciliation!L10)),"🔴 HIGH",IF(ISNUMBER(SEARCH("Phantom",Reconciliation!L10)),"🔴 HIGH",IF(ISNUMBER(SEARCH("Amount",Reconciliation!L10)),"🟡 MED",IF(ISNUMBER(SEARCH("Reference",Reconciliation!L10)),"🟡 MED",IF(ISNUMBER(SEARCH("Late",Reconciliation!L10)),"🔵 LOW",""))))))</f>
        <v>🔵 LOW</v>
      </c>
      <c r="B13" s="15" t="str">
        <f aca="false">IF(Reconciliation!L10="✅ Matched","",Reconciliation!A10)</f>
        <v>SEPA-2025-1008</v>
      </c>
      <c r="C13" s="15" t="str">
        <f aca="false">IF(Reconciliation!L10="✅ Matched","",Reconciliation!L10)</f>
        <v>⏰ Late Settlement</v>
      </c>
      <c r="D13" s="17" t="n">
        <f aca="false">IF(Reconciliation!L10="✅ Matched","",Reconciliation!E10)</f>
        <v>953.41</v>
      </c>
      <c r="E13" s="17" t="n">
        <f aca="false">IF(Reconciliation!L10="✅ Matched","",Reconciliation!F10)</f>
        <v>953.41</v>
      </c>
      <c r="F13" s="17" t="n">
        <f aca="false">IF(Reconciliation!L10="✅ Matched","",Reconciliation!G10)</f>
        <v>0</v>
      </c>
      <c r="G13" s="15" t="n">
        <f aca="false">IF(Reconciliation!L10="✅ Matched","",Reconciliation!D10)</f>
        <v>5</v>
      </c>
      <c r="H13" s="15" t="str">
        <f aca="false">IF(Reconciliation!L10="✅ Matched","",IF(Reconciliation!J10="No",Reconciliation!I10,""))</f>
        <v/>
      </c>
    </row>
    <row r="14" customFormat="false" ht="15" hidden="false" customHeight="false" outlineLevel="0" collapsed="false">
      <c r="A14" s="15" t="str">
        <f aca="false">IF(Reconciliation!L11="✅ Matched","",IF(ISNUMBER(SEARCH("Missing",Reconciliation!L11)),"🔴 HIGH",IF(ISNUMBER(SEARCH("Phantom",Reconciliation!L11)),"🔴 HIGH",IF(ISNUMBER(SEARCH("Amount",Reconciliation!L11)),"🟡 MED",IF(ISNUMBER(SEARCH("Reference",Reconciliation!L11)),"🟡 MED",IF(ISNUMBER(SEARCH("Late",Reconciliation!L11)),"🔵 LOW",""))))))</f>
        <v/>
      </c>
      <c r="B14" s="15" t="str">
        <f aca="false">IF(Reconciliation!L11="✅ Matched","",Reconciliation!A11)</f>
        <v/>
      </c>
      <c r="C14" s="15" t="str">
        <f aca="false">IF(Reconciliation!L11="✅ Matched","",Reconciliation!L11)</f>
        <v/>
      </c>
      <c r="D14" s="17" t="str">
        <f aca="false">IF(Reconciliation!L11="✅ Matched","",Reconciliation!E11)</f>
        <v/>
      </c>
      <c r="E14" s="17" t="str">
        <f aca="false">IF(Reconciliation!L11="✅ Matched","",Reconciliation!F11)</f>
        <v/>
      </c>
      <c r="F14" s="17" t="str">
        <f aca="false">IF(Reconciliation!L11="✅ Matched","",Reconciliation!G11)</f>
        <v/>
      </c>
      <c r="G14" s="15" t="str">
        <f aca="false">IF(Reconciliation!L11="✅ Matched","",Reconciliation!D11)</f>
        <v/>
      </c>
      <c r="H14" s="15" t="str">
        <f aca="false">IF(Reconciliation!L11="✅ Matched","",IF(Reconciliation!J11="No",Reconciliation!I11,""))</f>
        <v/>
      </c>
    </row>
    <row r="15" customFormat="false" ht="15" hidden="false" customHeight="false" outlineLevel="0" collapsed="false">
      <c r="A15" s="15" t="str">
        <f aca="false">IF(Reconciliation!L12="✅ Matched","",IF(ISNUMBER(SEARCH("Missing",Reconciliation!L12)),"🔴 HIGH",IF(ISNUMBER(SEARCH("Phantom",Reconciliation!L12)),"🔴 HIGH",IF(ISNUMBER(SEARCH("Amount",Reconciliation!L12)),"🟡 MED",IF(ISNUMBER(SEARCH("Reference",Reconciliation!L12)),"🟡 MED",IF(ISNUMBER(SEARCH("Late",Reconciliation!L12)),"🔵 LOW",""))))))</f>
        <v>🔵 LOW</v>
      </c>
      <c r="B15" s="15" t="str">
        <f aca="false">IF(Reconciliation!L12="✅ Matched","",Reconciliation!A12)</f>
        <v>SEPA-2025-1010</v>
      </c>
      <c r="C15" s="15" t="str">
        <f aca="false">IF(Reconciliation!L12="✅ Matched","",Reconciliation!L12)</f>
        <v>⏰ Late Settlement</v>
      </c>
      <c r="D15" s="17" t="n">
        <f aca="false">IF(Reconciliation!L12="✅ Matched","",Reconciliation!E12)</f>
        <v>1337.68</v>
      </c>
      <c r="E15" s="17" t="n">
        <f aca="false">IF(Reconciliation!L12="✅ Matched","",Reconciliation!F12)</f>
        <v>1337.68</v>
      </c>
      <c r="F15" s="17" t="n">
        <f aca="false">IF(Reconciliation!L12="✅ Matched","",Reconciliation!G12)</f>
        <v>0</v>
      </c>
      <c r="G15" s="15" t="n">
        <f aca="false">IF(Reconciliation!L12="✅ Matched","",Reconciliation!D12)</f>
        <v>5</v>
      </c>
      <c r="H15" s="15" t="str">
        <f aca="false">IF(Reconciliation!L12="✅ Matched","",IF(Reconciliation!J12="No",Reconciliation!I12,""))</f>
        <v/>
      </c>
    </row>
    <row r="16" customFormat="false" ht="15" hidden="false" customHeight="false" outlineLevel="0" collapsed="false">
      <c r="A16" s="15" t="str">
        <f aca="false">IF(Reconciliation!L13="✅ Matched","",IF(ISNUMBER(SEARCH("Missing",Reconciliation!L13)),"🔴 HIGH",IF(ISNUMBER(SEARCH("Phantom",Reconciliation!L13)),"🔴 HIGH",IF(ISNUMBER(SEARCH("Amount",Reconciliation!L13)),"🟡 MED",IF(ISNUMBER(SEARCH("Reference",Reconciliation!L13)),"🟡 MED",IF(ISNUMBER(SEARCH("Late",Reconciliation!L13)),"🔵 LOW",""))))))</f>
        <v/>
      </c>
      <c r="B16" s="15" t="str">
        <f aca="false">IF(Reconciliation!L13="✅ Matched","",Reconciliation!A13)</f>
        <v/>
      </c>
      <c r="C16" s="15" t="str">
        <f aca="false">IF(Reconciliation!L13="✅ Matched","",Reconciliation!L13)</f>
        <v/>
      </c>
      <c r="D16" s="17" t="str">
        <f aca="false">IF(Reconciliation!L13="✅ Matched","",Reconciliation!E13)</f>
        <v/>
      </c>
      <c r="E16" s="17" t="str">
        <f aca="false">IF(Reconciliation!L13="✅ Matched","",Reconciliation!F13)</f>
        <v/>
      </c>
      <c r="F16" s="17" t="str">
        <f aca="false">IF(Reconciliation!L13="✅ Matched","",Reconciliation!G13)</f>
        <v/>
      </c>
      <c r="G16" s="15" t="str">
        <f aca="false">IF(Reconciliation!L13="✅ Matched","",Reconciliation!D13)</f>
        <v/>
      </c>
      <c r="H16" s="15" t="str">
        <f aca="false">IF(Reconciliation!L13="✅ Matched","",IF(Reconciliation!J13="No",Reconciliation!I13,""))</f>
        <v/>
      </c>
    </row>
    <row r="17" customFormat="false" ht="15" hidden="false" customHeight="false" outlineLevel="0" collapsed="false">
      <c r="A17" s="15" t="str">
        <f aca="false">IF(Reconciliation!L14="✅ Matched","",IF(ISNUMBER(SEARCH("Missing",Reconciliation!L14)),"🔴 HIGH",IF(ISNUMBER(SEARCH("Phantom",Reconciliation!L14)),"🔴 HIGH",IF(ISNUMBER(SEARCH("Amount",Reconciliation!L14)),"🟡 MED",IF(ISNUMBER(SEARCH("Reference",Reconciliation!L14)),"🟡 MED",IF(ISNUMBER(SEARCH("Late",Reconciliation!L14)),"🔵 LOW",""))))))</f>
        <v/>
      </c>
      <c r="B17" s="15" t="str">
        <f aca="false">IF(Reconciliation!L14="✅ Matched","",Reconciliation!A14)</f>
        <v/>
      </c>
      <c r="C17" s="15" t="str">
        <f aca="false">IF(Reconciliation!L14="✅ Matched","",Reconciliation!L14)</f>
        <v/>
      </c>
      <c r="D17" s="17" t="str">
        <f aca="false">IF(Reconciliation!L14="✅ Matched","",Reconciliation!E14)</f>
        <v/>
      </c>
      <c r="E17" s="17" t="str">
        <f aca="false">IF(Reconciliation!L14="✅ Matched","",Reconciliation!F14)</f>
        <v/>
      </c>
      <c r="F17" s="17" t="str">
        <f aca="false">IF(Reconciliation!L14="✅ Matched","",Reconciliation!G14)</f>
        <v/>
      </c>
      <c r="G17" s="15" t="str">
        <f aca="false">IF(Reconciliation!L14="✅ Matched","",Reconciliation!D14)</f>
        <v/>
      </c>
      <c r="H17" s="15" t="str">
        <f aca="false">IF(Reconciliation!L14="✅ Matched","",IF(Reconciliation!J14="No",Reconciliation!I14,""))</f>
        <v/>
      </c>
    </row>
    <row r="18" customFormat="false" ht="15" hidden="false" customHeight="false" outlineLevel="0" collapsed="false">
      <c r="A18" s="15" t="str">
        <f aca="false">IF(Reconciliation!L15="✅ Matched","",IF(ISNUMBER(SEARCH("Missing",Reconciliation!L15)),"🔴 HIGH",IF(ISNUMBER(SEARCH("Phantom",Reconciliation!L15)),"🔴 HIGH",IF(ISNUMBER(SEARCH("Amount",Reconciliation!L15)),"🟡 MED",IF(ISNUMBER(SEARCH("Reference",Reconciliation!L15)),"🟡 MED",IF(ISNUMBER(SEARCH("Late",Reconciliation!L15)),"🔵 LOW",""))))))</f>
        <v/>
      </c>
      <c r="B18" s="15" t="str">
        <f aca="false">IF(Reconciliation!L15="✅ Matched","",Reconciliation!A15)</f>
        <v/>
      </c>
      <c r="C18" s="15" t="str">
        <f aca="false">IF(Reconciliation!L15="✅ Matched","",Reconciliation!L15)</f>
        <v/>
      </c>
      <c r="D18" s="17" t="str">
        <f aca="false">IF(Reconciliation!L15="✅ Matched","",Reconciliation!E15)</f>
        <v/>
      </c>
      <c r="E18" s="17" t="str">
        <f aca="false">IF(Reconciliation!L15="✅ Matched","",Reconciliation!F15)</f>
        <v/>
      </c>
      <c r="F18" s="17" t="str">
        <f aca="false">IF(Reconciliation!L15="✅ Matched","",Reconciliation!G15)</f>
        <v/>
      </c>
      <c r="G18" s="15" t="str">
        <f aca="false">IF(Reconciliation!L15="✅ Matched","",Reconciliation!D15)</f>
        <v/>
      </c>
      <c r="H18" s="15" t="str">
        <f aca="false">IF(Reconciliation!L15="✅ Matched","",IF(Reconciliation!J15="No",Reconciliation!I15,""))</f>
        <v/>
      </c>
    </row>
    <row r="19" customFormat="false" ht="15" hidden="false" customHeight="false" outlineLevel="0" collapsed="false">
      <c r="A19" s="15" t="str">
        <f aca="false">IF(Reconciliation!L16="✅ Matched","",IF(ISNUMBER(SEARCH("Missing",Reconciliation!L16)),"🔴 HIGH",IF(ISNUMBER(SEARCH("Phantom",Reconciliation!L16)),"🔴 HIGH",IF(ISNUMBER(SEARCH("Amount",Reconciliation!L16)),"🟡 MED",IF(ISNUMBER(SEARCH("Reference",Reconciliation!L16)),"🟡 MED",IF(ISNUMBER(SEARCH("Late",Reconciliation!L16)),"🔵 LOW",""))))))</f>
        <v/>
      </c>
      <c r="B19" s="15" t="str">
        <f aca="false">IF(Reconciliation!L16="✅ Matched","",Reconciliation!A16)</f>
        <v/>
      </c>
      <c r="C19" s="15" t="str">
        <f aca="false">IF(Reconciliation!L16="✅ Matched","",Reconciliation!L16)</f>
        <v/>
      </c>
      <c r="D19" s="17" t="str">
        <f aca="false">IF(Reconciliation!L16="✅ Matched","",Reconciliation!E16)</f>
        <v/>
      </c>
      <c r="E19" s="17" t="str">
        <f aca="false">IF(Reconciliation!L16="✅ Matched","",Reconciliation!F16)</f>
        <v/>
      </c>
      <c r="F19" s="17" t="str">
        <f aca="false">IF(Reconciliation!L16="✅ Matched","",Reconciliation!G16)</f>
        <v/>
      </c>
      <c r="G19" s="15" t="str">
        <f aca="false">IF(Reconciliation!L16="✅ Matched","",Reconciliation!D16)</f>
        <v/>
      </c>
      <c r="H19" s="15" t="str">
        <f aca="false">IF(Reconciliation!L16="✅ Matched","",IF(Reconciliation!J16="No",Reconciliation!I16,""))</f>
        <v/>
      </c>
    </row>
    <row r="20" customFormat="false" ht="15" hidden="false" customHeight="false" outlineLevel="0" collapsed="false">
      <c r="A20" s="15" t="str">
        <f aca="false">IF(Reconciliation!L17="✅ Matched","",IF(ISNUMBER(SEARCH("Missing",Reconciliation!L17)),"🔴 HIGH",IF(ISNUMBER(SEARCH("Phantom",Reconciliation!L17)),"🔴 HIGH",IF(ISNUMBER(SEARCH("Amount",Reconciliation!L17)),"🟡 MED",IF(ISNUMBER(SEARCH("Reference",Reconciliation!L17)),"🟡 MED",IF(ISNUMBER(SEARCH("Late",Reconciliation!L17)),"🔵 LOW",""))))))</f>
        <v/>
      </c>
      <c r="B20" s="15" t="str">
        <f aca="false">IF(Reconciliation!L17="✅ Matched","",Reconciliation!A17)</f>
        <v/>
      </c>
      <c r="C20" s="15" t="str">
        <f aca="false">IF(Reconciliation!L17="✅ Matched","",Reconciliation!L17)</f>
        <v/>
      </c>
      <c r="D20" s="17" t="str">
        <f aca="false">IF(Reconciliation!L17="✅ Matched","",Reconciliation!E17)</f>
        <v/>
      </c>
      <c r="E20" s="17" t="str">
        <f aca="false">IF(Reconciliation!L17="✅ Matched","",Reconciliation!F17)</f>
        <v/>
      </c>
      <c r="F20" s="17" t="str">
        <f aca="false">IF(Reconciliation!L17="✅ Matched","",Reconciliation!G17)</f>
        <v/>
      </c>
      <c r="G20" s="15" t="str">
        <f aca="false">IF(Reconciliation!L17="✅ Matched","",Reconciliation!D17)</f>
        <v/>
      </c>
      <c r="H20" s="15" t="str">
        <f aca="false">IF(Reconciliation!L17="✅ Matched","",IF(Reconciliation!J17="No",Reconciliation!I17,""))</f>
        <v/>
      </c>
    </row>
    <row r="21" customFormat="false" ht="15" hidden="false" customHeight="false" outlineLevel="0" collapsed="false">
      <c r="A21" s="15" t="str">
        <f aca="false">IF(Reconciliation!L18="✅ Matched","",IF(ISNUMBER(SEARCH("Missing",Reconciliation!L18)),"🔴 HIGH",IF(ISNUMBER(SEARCH("Phantom",Reconciliation!L18)),"🔴 HIGH",IF(ISNUMBER(SEARCH("Amount",Reconciliation!L18)),"🟡 MED",IF(ISNUMBER(SEARCH("Reference",Reconciliation!L18)),"🟡 MED",IF(ISNUMBER(SEARCH("Late",Reconciliation!L18)),"🔵 LOW",""))))))</f>
        <v>🔵 LOW</v>
      </c>
      <c r="B21" s="15" t="str">
        <f aca="false">IF(Reconciliation!L18="✅ Matched","",Reconciliation!A18)</f>
        <v>SEPA-2025-1016</v>
      </c>
      <c r="C21" s="15" t="str">
        <f aca="false">IF(Reconciliation!L18="✅ Matched","",Reconciliation!L18)</f>
        <v>⏰ Late Settlement</v>
      </c>
      <c r="D21" s="17" t="n">
        <f aca="false">IF(Reconciliation!L18="✅ Matched","",Reconciliation!E18)</f>
        <v>386.34</v>
      </c>
      <c r="E21" s="17" t="n">
        <f aca="false">IF(Reconciliation!L18="✅ Matched","",Reconciliation!F18)</f>
        <v>386.34</v>
      </c>
      <c r="F21" s="17" t="n">
        <f aca="false">IF(Reconciliation!L18="✅ Matched","",Reconciliation!G18)</f>
        <v>0</v>
      </c>
      <c r="G21" s="15" t="n">
        <f aca="false">IF(Reconciliation!L18="✅ Matched","",Reconciliation!D18)</f>
        <v>5</v>
      </c>
      <c r="H21" s="15" t="str">
        <f aca="false">IF(Reconciliation!L18="✅ Matched","",IF(Reconciliation!J18="No",Reconciliation!I18,""))</f>
        <v/>
      </c>
    </row>
    <row r="22" customFormat="false" ht="15" hidden="false" customHeight="false" outlineLevel="0" collapsed="false">
      <c r="A22" s="15" t="str">
        <f aca="false">IF(Reconciliation!L19="✅ Matched","",IF(ISNUMBER(SEARCH("Missing",Reconciliation!L19)),"🔴 HIGH",IF(ISNUMBER(SEARCH("Phantom",Reconciliation!L19)),"🔴 HIGH",IF(ISNUMBER(SEARCH("Amount",Reconciliation!L19)),"🟡 MED",IF(ISNUMBER(SEARCH("Reference",Reconciliation!L19)),"🟡 MED",IF(ISNUMBER(SEARCH("Late",Reconciliation!L19)),"🔵 LOW",""))))))</f>
        <v/>
      </c>
      <c r="B22" s="15" t="str">
        <f aca="false">IF(Reconciliation!L19="✅ Matched","",Reconciliation!A19)</f>
        <v/>
      </c>
      <c r="C22" s="15" t="str">
        <f aca="false">IF(Reconciliation!L19="✅ Matched","",Reconciliation!L19)</f>
        <v/>
      </c>
      <c r="D22" s="17" t="str">
        <f aca="false">IF(Reconciliation!L19="✅ Matched","",Reconciliation!E19)</f>
        <v/>
      </c>
      <c r="E22" s="17" t="str">
        <f aca="false">IF(Reconciliation!L19="✅ Matched","",Reconciliation!F19)</f>
        <v/>
      </c>
      <c r="F22" s="17" t="str">
        <f aca="false">IF(Reconciliation!L19="✅ Matched","",Reconciliation!G19)</f>
        <v/>
      </c>
      <c r="G22" s="15" t="str">
        <f aca="false">IF(Reconciliation!L19="✅ Matched","",Reconciliation!D19)</f>
        <v/>
      </c>
      <c r="H22" s="15" t="str">
        <f aca="false">IF(Reconciliation!L19="✅ Matched","",IF(Reconciliation!J19="No",Reconciliation!I19,""))</f>
        <v/>
      </c>
    </row>
    <row r="23" customFormat="false" ht="15" hidden="false" customHeight="false" outlineLevel="0" collapsed="false">
      <c r="A23" s="15" t="str">
        <f aca="false">IF(Reconciliation!L20="✅ Matched","",IF(ISNUMBER(SEARCH("Missing",Reconciliation!L20)),"🔴 HIGH",IF(ISNUMBER(SEARCH("Phantom",Reconciliation!L20)),"🔴 HIGH",IF(ISNUMBER(SEARCH("Amount",Reconciliation!L20)),"🟡 MED",IF(ISNUMBER(SEARCH("Reference",Reconciliation!L20)),"🟡 MED",IF(ISNUMBER(SEARCH("Late",Reconciliation!L20)),"🔵 LOW",""))))))</f>
        <v>🔴 HIGH</v>
      </c>
      <c r="B23" s="15" t="str">
        <f aca="false">IF(Reconciliation!L20="✅ Matched","",Reconciliation!A20)</f>
        <v>SEPA-2025-1018</v>
      </c>
      <c r="C23" s="15" t="str">
        <f aca="false">IF(Reconciliation!L20="✅ Matched","",Reconciliation!L20)</f>
        <v>❌ Missing in Bank</v>
      </c>
      <c r="D23" s="17" t="n">
        <f aca="false">IF(Reconciliation!L20="✅ Matched","",Reconciliation!E20)</f>
        <v>290.81</v>
      </c>
      <c r="E23" s="17" t="str">
        <f aca="false">IF(Reconciliation!L20="✅ Matched","",Reconciliation!F20)</f>
        <v/>
      </c>
      <c r="F23" s="17" t="str">
        <f aca="false">IF(Reconciliation!L20="✅ Matched","",Reconciliation!G20)</f>
        <v/>
      </c>
      <c r="G23" s="15" t="str">
        <f aca="false">IF(Reconciliation!L20="✅ Matched","",Reconciliation!D20)</f>
        <v/>
      </c>
      <c r="H23" s="15" t="str">
        <f aca="false">IF(Reconciliation!L20="✅ Matched","",IF(Reconciliation!J20="No",Reconciliation!I20,""))</f>
        <v/>
      </c>
    </row>
    <row r="24" customFormat="false" ht="15" hidden="false" customHeight="false" outlineLevel="0" collapsed="false">
      <c r="A24" s="15" t="str">
        <f aca="false">IF(Reconciliation!L21="✅ Matched","",IF(ISNUMBER(SEARCH("Missing",Reconciliation!L21)),"🔴 HIGH",IF(ISNUMBER(SEARCH("Phantom",Reconciliation!L21)),"🔴 HIGH",IF(ISNUMBER(SEARCH("Amount",Reconciliation!L21)),"🟡 MED",IF(ISNUMBER(SEARCH("Reference",Reconciliation!L21)),"🟡 MED",IF(ISNUMBER(SEARCH("Late",Reconciliation!L21)),"🔵 LOW",""))))))</f>
        <v/>
      </c>
      <c r="B24" s="15" t="str">
        <f aca="false">IF(Reconciliation!L21="✅ Matched","",Reconciliation!A21)</f>
        <v/>
      </c>
      <c r="C24" s="15" t="str">
        <f aca="false">IF(Reconciliation!L21="✅ Matched","",Reconciliation!L21)</f>
        <v/>
      </c>
      <c r="D24" s="17" t="str">
        <f aca="false">IF(Reconciliation!L21="✅ Matched","",Reconciliation!E21)</f>
        <v/>
      </c>
      <c r="E24" s="17" t="str">
        <f aca="false">IF(Reconciliation!L21="✅ Matched","",Reconciliation!F21)</f>
        <v/>
      </c>
      <c r="F24" s="17" t="str">
        <f aca="false">IF(Reconciliation!L21="✅ Matched","",Reconciliation!G21)</f>
        <v/>
      </c>
      <c r="G24" s="15" t="str">
        <f aca="false">IF(Reconciliation!L21="✅ Matched","",Reconciliation!D21)</f>
        <v/>
      </c>
      <c r="H24" s="15" t="str">
        <f aca="false">IF(Reconciliation!L21="✅ Matched","",IF(Reconciliation!J21="No",Reconciliation!I21,""))</f>
        <v/>
      </c>
    </row>
    <row r="25" customFormat="false" ht="15" hidden="false" customHeight="false" outlineLevel="0" collapsed="false">
      <c r="A25" s="15" t="str">
        <f aca="false">IF(Reconciliation!L22="✅ Matched","",IF(ISNUMBER(SEARCH("Missing",Reconciliation!L22)),"🔴 HIGH",IF(ISNUMBER(SEARCH("Phantom",Reconciliation!L22)),"🔴 HIGH",IF(ISNUMBER(SEARCH("Amount",Reconciliation!L22)),"🟡 MED",IF(ISNUMBER(SEARCH("Reference",Reconciliation!L22)),"🟡 MED",IF(ISNUMBER(SEARCH("Late",Reconciliation!L22)),"🔵 LOW",""))))))</f>
        <v/>
      </c>
      <c r="B25" s="15" t="str">
        <f aca="false">IF(Reconciliation!L22="✅ Matched","",Reconciliation!A22)</f>
        <v/>
      </c>
      <c r="C25" s="15" t="str">
        <f aca="false">IF(Reconciliation!L22="✅ Matched","",Reconciliation!L22)</f>
        <v/>
      </c>
      <c r="D25" s="17" t="str">
        <f aca="false">IF(Reconciliation!L22="✅ Matched","",Reconciliation!E22)</f>
        <v/>
      </c>
      <c r="E25" s="17" t="str">
        <f aca="false">IF(Reconciliation!L22="✅ Matched","",Reconciliation!F22)</f>
        <v/>
      </c>
      <c r="F25" s="17" t="str">
        <f aca="false">IF(Reconciliation!L22="✅ Matched","",Reconciliation!G22)</f>
        <v/>
      </c>
      <c r="G25" s="15" t="str">
        <f aca="false">IF(Reconciliation!L22="✅ Matched","",Reconciliation!D22)</f>
        <v/>
      </c>
      <c r="H25" s="15" t="str">
        <f aca="false">IF(Reconciliation!L22="✅ Matched","",IF(Reconciliation!J22="No",Reconciliation!I22,""))</f>
        <v/>
      </c>
    </row>
    <row r="26" customFormat="false" ht="15" hidden="false" customHeight="false" outlineLevel="0" collapsed="false">
      <c r="A26" s="15" t="str">
        <f aca="false">IF(Reconciliation!L23="✅ Matched","",IF(ISNUMBER(SEARCH("Missing",Reconciliation!L23)),"🔴 HIGH",IF(ISNUMBER(SEARCH("Phantom",Reconciliation!L23)),"🔴 HIGH",IF(ISNUMBER(SEARCH("Amount",Reconciliation!L23)),"🟡 MED",IF(ISNUMBER(SEARCH("Reference",Reconciliation!L23)),"🟡 MED",IF(ISNUMBER(SEARCH("Late",Reconciliation!L23)),"🔵 LOW",""))))))</f>
        <v/>
      </c>
      <c r="B26" s="15" t="str">
        <f aca="false">IF(Reconciliation!L23="✅ Matched","",Reconciliation!A23)</f>
        <v/>
      </c>
      <c r="C26" s="15" t="str">
        <f aca="false">IF(Reconciliation!L23="✅ Matched","",Reconciliation!L23)</f>
        <v/>
      </c>
      <c r="D26" s="17" t="str">
        <f aca="false">IF(Reconciliation!L23="✅ Matched","",Reconciliation!E23)</f>
        <v/>
      </c>
      <c r="E26" s="17" t="str">
        <f aca="false">IF(Reconciliation!L23="✅ Matched","",Reconciliation!F23)</f>
        <v/>
      </c>
      <c r="F26" s="17" t="str">
        <f aca="false">IF(Reconciliation!L23="✅ Matched","",Reconciliation!G23)</f>
        <v/>
      </c>
      <c r="G26" s="15" t="str">
        <f aca="false">IF(Reconciliation!L23="✅ Matched","",Reconciliation!D23)</f>
        <v/>
      </c>
      <c r="H26" s="15" t="str">
        <f aca="false">IF(Reconciliation!L23="✅ Matched","",IF(Reconciliation!J23="No",Reconciliation!I23,""))</f>
        <v/>
      </c>
    </row>
    <row r="27" customFormat="false" ht="15" hidden="false" customHeight="false" outlineLevel="0" collapsed="false">
      <c r="A27" s="15" t="str">
        <f aca="false">IF(Reconciliation!L24="✅ Matched","",IF(ISNUMBER(SEARCH("Missing",Reconciliation!L24)),"🔴 HIGH",IF(ISNUMBER(SEARCH("Phantom",Reconciliation!L24)),"🔴 HIGH",IF(ISNUMBER(SEARCH("Amount",Reconciliation!L24)),"🟡 MED",IF(ISNUMBER(SEARCH("Reference",Reconciliation!L24)),"🟡 MED",IF(ISNUMBER(SEARCH("Late",Reconciliation!L24)),"🔵 LOW",""))))))</f>
        <v/>
      </c>
      <c r="B27" s="15" t="str">
        <f aca="false">IF(Reconciliation!L24="✅ Matched","",Reconciliation!A24)</f>
        <v/>
      </c>
      <c r="C27" s="15" t="str">
        <f aca="false">IF(Reconciliation!L24="✅ Matched","",Reconciliation!L24)</f>
        <v/>
      </c>
      <c r="D27" s="17" t="str">
        <f aca="false">IF(Reconciliation!L24="✅ Matched","",Reconciliation!E24)</f>
        <v/>
      </c>
      <c r="E27" s="17" t="str">
        <f aca="false">IF(Reconciliation!L24="✅ Matched","",Reconciliation!F24)</f>
        <v/>
      </c>
      <c r="F27" s="17" t="str">
        <f aca="false">IF(Reconciliation!L24="✅ Matched","",Reconciliation!G24)</f>
        <v/>
      </c>
      <c r="G27" s="15" t="str">
        <f aca="false">IF(Reconciliation!L24="✅ Matched","",Reconciliation!D24)</f>
        <v/>
      </c>
      <c r="H27" s="15" t="str">
        <f aca="false">IF(Reconciliation!L24="✅ Matched","",IF(Reconciliation!J24="No",Reconciliation!I24,""))</f>
        <v/>
      </c>
    </row>
    <row r="28" customFormat="false" ht="15" hidden="false" customHeight="false" outlineLevel="0" collapsed="false">
      <c r="A28" s="15" t="str">
        <f aca="false">IF(Reconciliation!L25="✅ Matched","",IF(ISNUMBER(SEARCH("Missing",Reconciliation!L25)),"🔴 HIGH",IF(ISNUMBER(SEARCH("Phantom",Reconciliation!L25)),"🔴 HIGH",IF(ISNUMBER(SEARCH("Amount",Reconciliation!L25)),"🟡 MED",IF(ISNUMBER(SEARCH("Reference",Reconciliation!L25)),"🟡 MED",IF(ISNUMBER(SEARCH("Late",Reconciliation!L25)),"🔵 LOW",""))))))</f>
        <v/>
      </c>
      <c r="B28" s="15" t="str">
        <f aca="false">IF(Reconciliation!L25="✅ Matched","",Reconciliation!A25)</f>
        <v/>
      </c>
      <c r="C28" s="15" t="str">
        <f aca="false">IF(Reconciliation!L25="✅ Matched","",Reconciliation!L25)</f>
        <v/>
      </c>
      <c r="D28" s="17" t="str">
        <f aca="false">IF(Reconciliation!L25="✅ Matched","",Reconciliation!E25)</f>
        <v/>
      </c>
      <c r="E28" s="17" t="str">
        <f aca="false">IF(Reconciliation!L25="✅ Matched","",Reconciliation!F25)</f>
        <v/>
      </c>
      <c r="F28" s="17" t="str">
        <f aca="false">IF(Reconciliation!L25="✅ Matched","",Reconciliation!G25)</f>
        <v/>
      </c>
      <c r="G28" s="15" t="str">
        <f aca="false">IF(Reconciliation!L25="✅ Matched","",Reconciliation!D25)</f>
        <v/>
      </c>
      <c r="H28" s="15" t="str">
        <f aca="false">IF(Reconciliation!L25="✅ Matched","",IF(Reconciliation!J25="No",Reconciliation!I25,""))</f>
        <v/>
      </c>
    </row>
    <row r="29" customFormat="false" ht="15" hidden="false" customHeight="false" outlineLevel="0" collapsed="false">
      <c r="A29" s="15" t="str">
        <f aca="false">IF(Reconciliation!L26="✅ Matched","",IF(ISNUMBER(SEARCH("Missing",Reconciliation!L26)),"🔴 HIGH",IF(ISNUMBER(SEARCH("Phantom",Reconciliation!L26)),"🔴 HIGH",IF(ISNUMBER(SEARCH("Amount",Reconciliation!L26)),"🟡 MED",IF(ISNUMBER(SEARCH("Reference",Reconciliation!L26)),"🟡 MED",IF(ISNUMBER(SEARCH("Late",Reconciliation!L26)),"🔵 LOW",""))))))</f>
        <v/>
      </c>
      <c r="B29" s="15" t="str">
        <f aca="false">IF(Reconciliation!L26="✅ Matched","",Reconciliation!A26)</f>
        <v/>
      </c>
      <c r="C29" s="15" t="str">
        <f aca="false">IF(Reconciliation!L26="✅ Matched","",Reconciliation!L26)</f>
        <v/>
      </c>
      <c r="D29" s="17" t="str">
        <f aca="false">IF(Reconciliation!L26="✅ Matched","",Reconciliation!E26)</f>
        <v/>
      </c>
      <c r="E29" s="17" t="str">
        <f aca="false">IF(Reconciliation!L26="✅ Matched","",Reconciliation!F26)</f>
        <v/>
      </c>
      <c r="F29" s="17" t="str">
        <f aca="false">IF(Reconciliation!L26="✅ Matched","",Reconciliation!G26)</f>
        <v/>
      </c>
      <c r="G29" s="15" t="str">
        <f aca="false">IF(Reconciliation!L26="✅ Matched","",Reconciliation!D26)</f>
        <v/>
      </c>
      <c r="H29" s="15" t="str">
        <f aca="false">IF(Reconciliation!L26="✅ Matched","",IF(Reconciliation!J26="No",Reconciliation!I26,""))</f>
        <v/>
      </c>
    </row>
    <row r="30" customFormat="false" ht="15" hidden="false" customHeight="false" outlineLevel="0" collapsed="false">
      <c r="A30" s="15" t="str">
        <f aca="false">IF(Reconciliation!L27="✅ Matched","",IF(ISNUMBER(SEARCH("Missing",Reconciliation!L27)),"🔴 HIGH",IF(ISNUMBER(SEARCH("Phantom",Reconciliation!L27)),"🔴 HIGH",IF(ISNUMBER(SEARCH("Amount",Reconciliation!L27)),"🟡 MED",IF(ISNUMBER(SEARCH("Reference",Reconciliation!L27)),"🟡 MED",IF(ISNUMBER(SEARCH("Late",Reconciliation!L27)),"🔵 LOW",""))))))</f>
        <v/>
      </c>
      <c r="B30" s="15" t="str">
        <f aca="false">IF(Reconciliation!L27="✅ Matched","",Reconciliation!A27)</f>
        <v/>
      </c>
      <c r="C30" s="15" t="str">
        <f aca="false">IF(Reconciliation!L27="✅ Matched","",Reconciliation!L27)</f>
        <v/>
      </c>
      <c r="D30" s="17" t="str">
        <f aca="false">IF(Reconciliation!L27="✅ Matched","",Reconciliation!E27)</f>
        <v/>
      </c>
      <c r="E30" s="17" t="str">
        <f aca="false">IF(Reconciliation!L27="✅ Matched","",Reconciliation!F27)</f>
        <v/>
      </c>
      <c r="F30" s="17" t="str">
        <f aca="false">IF(Reconciliation!L27="✅ Matched","",Reconciliation!G27)</f>
        <v/>
      </c>
      <c r="G30" s="15" t="str">
        <f aca="false">IF(Reconciliation!L27="✅ Matched","",Reconciliation!D27)</f>
        <v/>
      </c>
      <c r="H30" s="15" t="str">
        <f aca="false">IF(Reconciliation!L27="✅ Matched","",IF(Reconciliation!J27="No",Reconciliation!I27,""))</f>
        <v/>
      </c>
    </row>
    <row r="31" customFormat="false" ht="15" hidden="false" customHeight="false" outlineLevel="0" collapsed="false">
      <c r="A31" s="15" t="str">
        <f aca="false">IF(Reconciliation!L28="✅ Matched","",IF(ISNUMBER(SEARCH("Missing",Reconciliation!L28)),"🔴 HIGH",IF(ISNUMBER(SEARCH("Phantom",Reconciliation!L28)),"🔴 HIGH",IF(ISNUMBER(SEARCH("Amount",Reconciliation!L28)),"🟡 MED",IF(ISNUMBER(SEARCH("Reference",Reconciliation!L28)),"🟡 MED",IF(ISNUMBER(SEARCH("Late",Reconciliation!L28)),"🔵 LOW",""))))))</f>
        <v>🔴 HIGH</v>
      </c>
      <c r="B31" s="15" t="str">
        <f aca="false">IF(Reconciliation!L28="✅ Matched","",Reconciliation!A28)</f>
        <v>SEPA-2025-1026</v>
      </c>
      <c r="C31" s="15" t="str">
        <f aca="false">IF(Reconciliation!L28="✅ Matched","",Reconciliation!L28)</f>
        <v>❌ Missing in Bank</v>
      </c>
      <c r="D31" s="17" t="n">
        <f aca="false">IF(Reconciliation!L28="✅ Matched","",Reconciliation!E28)</f>
        <v>1626.45</v>
      </c>
      <c r="E31" s="17" t="str">
        <f aca="false">IF(Reconciliation!L28="✅ Matched","",Reconciliation!F28)</f>
        <v/>
      </c>
      <c r="F31" s="17" t="str">
        <f aca="false">IF(Reconciliation!L28="✅ Matched","",Reconciliation!G28)</f>
        <v/>
      </c>
      <c r="G31" s="15" t="str">
        <f aca="false">IF(Reconciliation!L28="✅ Matched","",Reconciliation!D28)</f>
        <v/>
      </c>
      <c r="H31" s="15" t="str">
        <f aca="false">IF(Reconciliation!L28="✅ Matched","",IF(Reconciliation!J28="No",Reconciliation!I28,""))</f>
        <v/>
      </c>
    </row>
    <row r="32" customFormat="false" ht="15" hidden="false" customHeight="false" outlineLevel="0" collapsed="false">
      <c r="A32" s="15" t="str">
        <f aca="false">IF(Reconciliation!L29="✅ Matched","",IF(ISNUMBER(SEARCH("Missing",Reconciliation!L29)),"🔴 HIGH",IF(ISNUMBER(SEARCH("Phantom",Reconciliation!L29)),"🔴 HIGH",IF(ISNUMBER(SEARCH("Amount",Reconciliation!L29)),"🟡 MED",IF(ISNUMBER(SEARCH("Reference",Reconciliation!L29)),"🟡 MED",IF(ISNUMBER(SEARCH("Late",Reconciliation!L29)),"🔵 LOW",""))))))</f>
        <v/>
      </c>
      <c r="B32" s="15" t="str">
        <f aca="false">IF(Reconciliation!L29="✅ Matched","",Reconciliation!A29)</f>
        <v/>
      </c>
      <c r="C32" s="15" t="str">
        <f aca="false">IF(Reconciliation!L29="✅ Matched","",Reconciliation!L29)</f>
        <v/>
      </c>
      <c r="D32" s="17" t="str">
        <f aca="false">IF(Reconciliation!L29="✅ Matched","",Reconciliation!E29)</f>
        <v/>
      </c>
      <c r="E32" s="17" t="str">
        <f aca="false">IF(Reconciliation!L29="✅ Matched","",Reconciliation!F29)</f>
        <v/>
      </c>
      <c r="F32" s="17" t="str">
        <f aca="false">IF(Reconciliation!L29="✅ Matched","",Reconciliation!G29)</f>
        <v/>
      </c>
      <c r="G32" s="15" t="str">
        <f aca="false">IF(Reconciliation!L29="✅ Matched","",Reconciliation!D29)</f>
        <v/>
      </c>
      <c r="H32" s="15" t="str">
        <f aca="false">IF(Reconciliation!L29="✅ Matched","",IF(Reconciliation!J29="No",Reconciliation!I29,""))</f>
        <v/>
      </c>
    </row>
    <row r="33" customFormat="false" ht="15" hidden="false" customHeight="false" outlineLevel="0" collapsed="false">
      <c r="A33" s="15" t="str">
        <f aca="false">IF(Reconciliation!L30="✅ Matched","",IF(ISNUMBER(SEARCH("Missing",Reconciliation!L30)),"🔴 HIGH",IF(ISNUMBER(SEARCH("Phantom",Reconciliation!L30)),"🔴 HIGH",IF(ISNUMBER(SEARCH("Amount",Reconciliation!L30)),"🟡 MED",IF(ISNUMBER(SEARCH("Reference",Reconciliation!L30)),"🟡 MED",IF(ISNUMBER(SEARCH("Late",Reconciliation!L30)),"🔵 LOW",""))))))</f>
        <v/>
      </c>
      <c r="B33" s="15" t="str">
        <f aca="false">IF(Reconciliation!L30="✅ Matched","",Reconciliation!A30)</f>
        <v/>
      </c>
      <c r="C33" s="15" t="str">
        <f aca="false">IF(Reconciliation!L30="✅ Matched","",Reconciliation!L30)</f>
        <v/>
      </c>
      <c r="D33" s="17" t="str">
        <f aca="false">IF(Reconciliation!L30="✅ Matched","",Reconciliation!E30)</f>
        <v/>
      </c>
      <c r="E33" s="17" t="str">
        <f aca="false">IF(Reconciliation!L30="✅ Matched","",Reconciliation!F30)</f>
        <v/>
      </c>
      <c r="F33" s="17" t="str">
        <f aca="false">IF(Reconciliation!L30="✅ Matched","",Reconciliation!G30)</f>
        <v/>
      </c>
      <c r="G33" s="15" t="str">
        <f aca="false">IF(Reconciliation!L30="✅ Matched","",Reconciliation!D30)</f>
        <v/>
      </c>
      <c r="H33" s="15" t="str">
        <f aca="false">IF(Reconciliation!L30="✅ Matched","",IF(Reconciliation!J30="No",Reconciliation!I30,""))</f>
        <v/>
      </c>
    </row>
    <row r="34" customFormat="false" ht="15" hidden="false" customHeight="false" outlineLevel="0" collapsed="false">
      <c r="A34" s="15" t="str">
        <f aca="false">IF(Reconciliation!L31="✅ Matched","",IF(ISNUMBER(SEARCH("Missing",Reconciliation!L31)),"🔴 HIGH",IF(ISNUMBER(SEARCH("Phantom",Reconciliation!L31)),"🔴 HIGH",IF(ISNUMBER(SEARCH("Amount",Reconciliation!L31)),"🟡 MED",IF(ISNUMBER(SEARCH("Reference",Reconciliation!L31)),"🟡 MED",IF(ISNUMBER(SEARCH("Late",Reconciliation!L31)),"🔵 LOW",""))))))</f>
        <v/>
      </c>
      <c r="B34" s="15" t="str">
        <f aca="false">IF(Reconciliation!L31="✅ Matched","",Reconciliation!A31)</f>
        <v/>
      </c>
      <c r="C34" s="15" t="str">
        <f aca="false">IF(Reconciliation!L31="✅ Matched","",Reconciliation!L31)</f>
        <v/>
      </c>
      <c r="D34" s="17" t="str">
        <f aca="false">IF(Reconciliation!L31="✅ Matched","",Reconciliation!E31)</f>
        <v/>
      </c>
      <c r="E34" s="17" t="str">
        <f aca="false">IF(Reconciliation!L31="✅ Matched","",Reconciliation!F31)</f>
        <v/>
      </c>
      <c r="F34" s="17" t="str">
        <f aca="false">IF(Reconciliation!L31="✅ Matched","",Reconciliation!G31)</f>
        <v/>
      </c>
      <c r="G34" s="15" t="str">
        <f aca="false">IF(Reconciliation!L31="✅ Matched","",Reconciliation!D31)</f>
        <v/>
      </c>
      <c r="H34" s="15" t="str">
        <f aca="false">IF(Reconciliation!L31="✅ Matched","",IF(Reconciliation!J31="No",Reconciliation!I31,""))</f>
        <v/>
      </c>
    </row>
    <row r="35" customFormat="false" ht="15" hidden="false" customHeight="false" outlineLevel="0" collapsed="false">
      <c r="A35" s="15" t="str">
        <f aca="false">IF(Reconciliation!L32="✅ Matched","",IF(ISNUMBER(SEARCH("Missing",Reconciliation!L32)),"🔴 HIGH",IF(ISNUMBER(SEARCH("Phantom",Reconciliation!L32)),"🔴 HIGH",IF(ISNUMBER(SEARCH("Amount",Reconciliation!L32)),"🟡 MED",IF(ISNUMBER(SEARCH("Reference",Reconciliation!L32)),"🟡 MED",IF(ISNUMBER(SEARCH("Late",Reconciliation!L32)),"🔵 LOW",""))))))</f>
        <v/>
      </c>
      <c r="B35" s="15" t="str">
        <f aca="false">IF(Reconciliation!L32="✅ Matched","",Reconciliation!A32)</f>
        <v/>
      </c>
      <c r="C35" s="15" t="str">
        <f aca="false">IF(Reconciliation!L32="✅ Matched","",Reconciliation!L32)</f>
        <v/>
      </c>
      <c r="D35" s="17" t="str">
        <f aca="false">IF(Reconciliation!L32="✅ Matched","",Reconciliation!E32)</f>
        <v/>
      </c>
      <c r="E35" s="17" t="str">
        <f aca="false">IF(Reconciliation!L32="✅ Matched","",Reconciliation!F32)</f>
        <v/>
      </c>
      <c r="F35" s="17" t="str">
        <f aca="false">IF(Reconciliation!L32="✅ Matched","",Reconciliation!G32)</f>
        <v/>
      </c>
      <c r="G35" s="15" t="str">
        <f aca="false">IF(Reconciliation!L32="✅ Matched","",Reconciliation!D32)</f>
        <v/>
      </c>
      <c r="H35" s="15" t="str">
        <f aca="false">IF(Reconciliation!L32="✅ Matched","",IF(Reconciliation!J32="No",Reconciliation!I32,""))</f>
        <v/>
      </c>
    </row>
    <row r="36" customFormat="false" ht="15" hidden="false" customHeight="false" outlineLevel="0" collapsed="false">
      <c r="A36" s="15" t="str">
        <f aca="false">IF(Reconciliation!L33="✅ Matched","",IF(ISNUMBER(SEARCH("Missing",Reconciliation!L33)),"🔴 HIGH",IF(ISNUMBER(SEARCH("Phantom",Reconciliation!L33)),"🔴 HIGH",IF(ISNUMBER(SEARCH("Amount",Reconciliation!L33)),"🟡 MED",IF(ISNUMBER(SEARCH("Reference",Reconciliation!L33)),"🟡 MED",IF(ISNUMBER(SEARCH("Late",Reconciliation!L33)),"🔵 LOW",""))))))</f>
        <v/>
      </c>
      <c r="B36" s="15" t="str">
        <f aca="false">IF(Reconciliation!L33="✅ Matched","",Reconciliation!A33)</f>
        <v/>
      </c>
      <c r="C36" s="15" t="str">
        <f aca="false">IF(Reconciliation!L33="✅ Matched","",Reconciliation!L33)</f>
        <v/>
      </c>
      <c r="D36" s="17" t="str">
        <f aca="false">IF(Reconciliation!L33="✅ Matched","",Reconciliation!E33)</f>
        <v/>
      </c>
      <c r="E36" s="17" t="str">
        <f aca="false">IF(Reconciliation!L33="✅ Matched","",Reconciliation!F33)</f>
        <v/>
      </c>
      <c r="F36" s="17" t="str">
        <f aca="false">IF(Reconciliation!L33="✅ Matched","",Reconciliation!G33)</f>
        <v/>
      </c>
      <c r="G36" s="15" t="str">
        <f aca="false">IF(Reconciliation!L33="✅ Matched","",Reconciliation!D33)</f>
        <v/>
      </c>
      <c r="H36" s="15" t="str">
        <f aca="false">IF(Reconciliation!L33="✅ Matched","",IF(Reconciliation!J33="No",Reconciliation!I33,""))</f>
        <v/>
      </c>
    </row>
    <row r="37" customFormat="false" ht="15" hidden="false" customHeight="false" outlineLevel="0" collapsed="false">
      <c r="A37" s="15" t="str">
        <f aca="false">IF(Reconciliation!L34="✅ Matched","",IF(ISNUMBER(SEARCH("Missing",Reconciliation!L34)),"🔴 HIGH",IF(ISNUMBER(SEARCH("Phantom",Reconciliation!L34)),"🔴 HIGH",IF(ISNUMBER(SEARCH("Amount",Reconciliation!L34)),"🟡 MED",IF(ISNUMBER(SEARCH("Reference",Reconciliation!L34)),"🟡 MED",IF(ISNUMBER(SEARCH("Late",Reconciliation!L34)),"🔵 LOW",""))))))</f>
        <v/>
      </c>
      <c r="B37" s="15" t="str">
        <f aca="false">IF(Reconciliation!L34="✅ Matched","",Reconciliation!A34)</f>
        <v/>
      </c>
      <c r="C37" s="15" t="str">
        <f aca="false">IF(Reconciliation!L34="✅ Matched","",Reconciliation!L34)</f>
        <v/>
      </c>
      <c r="D37" s="17" t="str">
        <f aca="false">IF(Reconciliation!L34="✅ Matched","",Reconciliation!E34)</f>
        <v/>
      </c>
      <c r="E37" s="17" t="str">
        <f aca="false">IF(Reconciliation!L34="✅ Matched","",Reconciliation!F34)</f>
        <v/>
      </c>
      <c r="F37" s="17" t="str">
        <f aca="false">IF(Reconciliation!L34="✅ Matched","",Reconciliation!G34)</f>
        <v/>
      </c>
      <c r="G37" s="15" t="str">
        <f aca="false">IF(Reconciliation!L34="✅ Matched","",Reconciliation!D34)</f>
        <v/>
      </c>
      <c r="H37" s="15" t="str">
        <f aca="false">IF(Reconciliation!L34="✅ Matched","",IF(Reconciliation!J34="No",Reconciliation!I34,""))</f>
        <v/>
      </c>
    </row>
    <row r="38" customFormat="false" ht="15" hidden="false" customHeight="false" outlineLevel="0" collapsed="false">
      <c r="A38" s="15" t="str">
        <f aca="false">IF(Reconciliation!L35="✅ Matched","",IF(ISNUMBER(SEARCH("Missing",Reconciliation!L35)),"🔴 HIGH",IF(ISNUMBER(SEARCH("Phantom",Reconciliation!L35)),"🔴 HIGH",IF(ISNUMBER(SEARCH("Amount",Reconciliation!L35)),"🟡 MED",IF(ISNUMBER(SEARCH("Reference",Reconciliation!L35)),"🟡 MED",IF(ISNUMBER(SEARCH("Late",Reconciliation!L35)),"🔵 LOW",""))))))</f>
        <v>🔵 LOW</v>
      </c>
      <c r="B38" s="15" t="str">
        <f aca="false">IF(Reconciliation!L35="✅ Matched","",Reconciliation!A35)</f>
        <v>SEPA-2025-1033</v>
      </c>
      <c r="C38" s="15" t="str">
        <f aca="false">IF(Reconciliation!L35="✅ Matched","",Reconciliation!L35)</f>
        <v>⏰ Late Settlement</v>
      </c>
      <c r="D38" s="17" t="n">
        <f aca="false">IF(Reconciliation!L35="✅ Matched","",Reconciliation!E35)</f>
        <v>1057.59</v>
      </c>
      <c r="E38" s="17" t="n">
        <f aca="false">IF(Reconciliation!L35="✅ Matched","",Reconciliation!F35)</f>
        <v>1057.59</v>
      </c>
      <c r="F38" s="17" t="n">
        <f aca="false">IF(Reconciliation!L35="✅ Matched","",Reconciliation!G35)</f>
        <v>0</v>
      </c>
      <c r="G38" s="15" t="n">
        <f aca="false">IF(Reconciliation!L35="✅ Matched","",Reconciliation!D35)</f>
        <v>5</v>
      </c>
      <c r="H38" s="15" t="str">
        <f aca="false">IF(Reconciliation!L35="✅ Matched","",IF(Reconciliation!J35="No",Reconciliation!I35,""))</f>
        <v/>
      </c>
    </row>
    <row r="39" customFormat="false" ht="15" hidden="false" customHeight="false" outlineLevel="0" collapsed="false">
      <c r="A39" s="15" t="str">
        <f aca="false">IF(Reconciliation!L36="✅ Matched","",IF(ISNUMBER(SEARCH("Missing",Reconciliation!L36)),"🔴 HIGH",IF(ISNUMBER(SEARCH("Phantom",Reconciliation!L36)),"🔴 HIGH",IF(ISNUMBER(SEARCH("Amount",Reconciliation!L36)),"🟡 MED",IF(ISNUMBER(SEARCH("Reference",Reconciliation!L36)),"🟡 MED",IF(ISNUMBER(SEARCH("Late",Reconciliation!L36)),"🔵 LOW",""))))))</f>
        <v>🟡 MED</v>
      </c>
      <c r="B39" s="15" t="str">
        <f aca="false">IF(Reconciliation!L36="✅ Matched","",Reconciliation!A36)</f>
        <v>SEPA-2025-1034</v>
      </c>
      <c r="C39" s="15" t="str">
        <f aca="false">IF(Reconciliation!L36="✅ Matched","",Reconciliation!L36)</f>
        <v>⚠ Amount Mismatch</v>
      </c>
      <c r="D39" s="17" t="n">
        <f aca="false">IF(Reconciliation!L36="✅ Matched","",Reconciliation!E36)</f>
        <v>249.28</v>
      </c>
      <c r="E39" s="17" t="n">
        <f aca="false">IF(Reconciliation!L36="✅ Matched","",Reconciliation!F36)</f>
        <v>254.28</v>
      </c>
      <c r="F39" s="17" t="n">
        <f aca="false">IF(Reconciliation!L36="✅ Matched","",Reconciliation!G36)</f>
        <v>5</v>
      </c>
      <c r="G39" s="15" t="n">
        <f aca="false">IF(Reconciliation!L36="✅ Matched","",Reconciliation!D36)</f>
        <v>1</v>
      </c>
      <c r="H39" s="15" t="str">
        <f aca="false">IF(Reconciliation!L36="✅ Matched","",IF(Reconciliation!J36="No",Reconciliation!I36,""))</f>
        <v/>
      </c>
    </row>
    <row r="40" customFormat="false" ht="15" hidden="false" customHeight="false" outlineLevel="0" collapsed="false">
      <c r="A40" s="15" t="str">
        <f aca="false">IF(Reconciliation!L37="✅ Matched","",IF(ISNUMBER(SEARCH("Missing",Reconciliation!L37)),"🔴 HIGH",IF(ISNUMBER(SEARCH("Phantom",Reconciliation!L37)),"🔴 HIGH",IF(ISNUMBER(SEARCH("Amount",Reconciliation!L37)),"🟡 MED",IF(ISNUMBER(SEARCH("Reference",Reconciliation!L37)),"🟡 MED",IF(ISNUMBER(SEARCH("Late",Reconciliation!L37)),"🔵 LOW",""))))))</f>
        <v/>
      </c>
      <c r="B40" s="15" t="str">
        <f aca="false">IF(Reconciliation!L37="✅ Matched","",Reconciliation!A37)</f>
        <v/>
      </c>
      <c r="C40" s="15" t="str">
        <f aca="false">IF(Reconciliation!L37="✅ Matched","",Reconciliation!L37)</f>
        <v/>
      </c>
      <c r="D40" s="17" t="str">
        <f aca="false">IF(Reconciliation!L37="✅ Matched","",Reconciliation!E37)</f>
        <v/>
      </c>
      <c r="E40" s="17" t="str">
        <f aca="false">IF(Reconciliation!L37="✅ Matched","",Reconciliation!F37)</f>
        <v/>
      </c>
      <c r="F40" s="17" t="str">
        <f aca="false">IF(Reconciliation!L37="✅ Matched","",Reconciliation!G37)</f>
        <v/>
      </c>
      <c r="G40" s="15" t="str">
        <f aca="false">IF(Reconciliation!L37="✅ Matched","",Reconciliation!D37)</f>
        <v/>
      </c>
      <c r="H40" s="15" t="str">
        <f aca="false">IF(Reconciliation!L37="✅ Matched","",IF(Reconciliation!J37="No",Reconciliation!I37,""))</f>
        <v/>
      </c>
    </row>
    <row r="41" customFormat="false" ht="15" hidden="false" customHeight="false" outlineLevel="0" collapsed="false">
      <c r="A41" s="15" t="str">
        <f aca="false">IF(Reconciliation!L38="✅ Matched","",IF(ISNUMBER(SEARCH("Missing",Reconciliation!L38)),"🔴 HIGH",IF(ISNUMBER(SEARCH("Phantom",Reconciliation!L38)),"🔴 HIGH",IF(ISNUMBER(SEARCH("Amount",Reconciliation!L38)),"🟡 MED",IF(ISNUMBER(SEARCH("Reference",Reconciliation!L38)),"🟡 MED",IF(ISNUMBER(SEARCH("Late",Reconciliation!L38)),"🔵 LOW",""))))))</f>
        <v/>
      </c>
      <c r="B41" s="15" t="str">
        <f aca="false">IF(Reconciliation!L38="✅ Matched","",Reconciliation!A38)</f>
        <v/>
      </c>
      <c r="C41" s="15" t="str">
        <f aca="false">IF(Reconciliation!L38="✅ Matched","",Reconciliation!L38)</f>
        <v/>
      </c>
      <c r="D41" s="17" t="str">
        <f aca="false">IF(Reconciliation!L38="✅ Matched","",Reconciliation!E38)</f>
        <v/>
      </c>
      <c r="E41" s="17" t="str">
        <f aca="false">IF(Reconciliation!L38="✅ Matched","",Reconciliation!F38)</f>
        <v/>
      </c>
      <c r="F41" s="17" t="str">
        <f aca="false">IF(Reconciliation!L38="✅ Matched","",Reconciliation!G38)</f>
        <v/>
      </c>
      <c r="G41" s="15" t="str">
        <f aca="false">IF(Reconciliation!L38="✅ Matched","",Reconciliation!D38)</f>
        <v/>
      </c>
      <c r="H41" s="15" t="str">
        <f aca="false">IF(Reconciliation!L38="✅ Matched","",IF(Reconciliation!J38="No",Reconciliation!I38,""))</f>
        <v/>
      </c>
    </row>
    <row r="42" customFormat="false" ht="15" hidden="false" customHeight="false" outlineLevel="0" collapsed="false">
      <c r="A42" s="15" t="str">
        <f aca="false">IF(Reconciliation!L39="✅ Matched","",IF(ISNUMBER(SEARCH("Missing",Reconciliation!L39)),"🔴 HIGH",IF(ISNUMBER(SEARCH("Phantom",Reconciliation!L39)),"🔴 HIGH",IF(ISNUMBER(SEARCH("Amount",Reconciliation!L39)),"🟡 MED",IF(ISNUMBER(SEARCH("Reference",Reconciliation!L39)),"🟡 MED",IF(ISNUMBER(SEARCH("Late",Reconciliation!L39)),"🔵 LOW",""))))))</f>
        <v/>
      </c>
      <c r="B42" s="15" t="str">
        <f aca="false">IF(Reconciliation!L39="✅ Matched","",Reconciliation!A39)</f>
        <v/>
      </c>
      <c r="C42" s="15" t="str">
        <f aca="false">IF(Reconciliation!L39="✅ Matched","",Reconciliation!L39)</f>
        <v/>
      </c>
      <c r="D42" s="17" t="str">
        <f aca="false">IF(Reconciliation!L39="✅ Matched","",Reconciliation!E39)</f>
        <v/>
      </c>
      <c r="E42" s="17" t="str">
        <f aca="false">IF(Reconciliation!L39="✅ Matched","",Reconciliation!F39)</f>
        <v/>
      </c>
      <c r="F42" s="17" t="str">
        <f aca="false">IF(Reconciliation!L39="✅ Matched","",Reconciliation!G39)</f>
        <v/>
      </c>
      <c r="G42" s="15" t="str">
        <f aca="false">IF(Reconciliation!L39="✅ Matched","",Reconciliation!D39)</f>
        <v/>
      </c>
      <c r="H42" s="15" t="str">
        <f aca="false">IF(Reconciliation!L39="✅ Matched","",IF(Reconciliation!J39="No",Reconciliation!I39,""))</f>
        <v/>
      </c>
    </row>
    <row r="43" customFormat="false" ht="15" hidden="false" customHeight="false" outlineLevel="0" collapsed="false">
      <c r="A43" s="15" t="str">
        <f aca="false">IF(Reconciliation!L40="✅ Matched","",IF(ISNUMBER(SEARCH("Missing",Reconciliation!L40)),"🔴 HIGH",IF(ISNUMBER(SEARCH("Phantom",Reconciliation!L40)),"🔴 HIGH",IF(ISNUMBER(SEARCH("Amount",Reconciliation!L40)),"🟡 MED",IF(ISNUMBER(SEARCH("Reference",Reconciliation!L40)),"🟡 MED",IF(ISNUMBER(SEARCH("Late",Reconciliation!L40)),"🔵 LOW",""))))))</f>
        <v/>
      </c>
      <c r="B43" s="15" t="str">
        <f aca="false">IF(Reconciliation!L40="✅ Matched","",Reconciliation!A40)</f>
        <v/>
      </c>
      <c r="C43" s="15" t="str">
        <f aca="false">IF(Reconciliation!L40="✅ Matched","",Reconciliation!L40)</f>
        <v/>
      </c>
      <c r="D43" s="17" t="str">
        <f aca="false">IF(Reconciliation!L40="✅ Matched","",Reconciliation!E40)</f>
        <v/>
      </c>
      <c r="E43" s="17" t="str">
        <f aca="false">IF(Reconciliation!L40="✅ Matched","",Reconciliation!F40)</f>
        <v/>
      </c>
      <c r="F43" s="17" t="str">
        <f aca="false">IF(Reconciliation!L40="✅ Matched","",Reconciliation!G40)</f>
        <v/>
      </c>
      <c r="G43" s="15" t="str">
        <f aca="false">IF(Reconciliation!L40="✅ Matched","",Reconciliation!D40)</f>
        <v/>
      </c>
      <c r="H43" s="15" t="str">
        <f aca="false">IF(Reconciliation!L40="✅ Matched","",IF(Reconciliation!J40="No",Reconciliation!I40,""))</f>
        <v/>
      </c>
    </row>
    <row r="44" customFormat="false" ht="15" hidden="false" customHeight="false" outlineLevel="0" collapsed="false">
      <c r="A44" s="15" t="str">
        <f aca="false">IF(Reconciliation!L41="✅ Matched","",IF(ISNUMBER(SEARCH("Missing",Reconciliation!L41)),"🔴 HIGH",IF(ISNUMBER(SEARCH("Phantom",Reconciliation!L41)),"🔴 HIGH",IF(ISNUMBER(SEARCH("Amount",Reconciliation!L41)),"🟡 MED",IF(ISNUMBER(SEARCH("Reference",Reconciliation!L41)),"🟡 MED",IF(ISNUMBER(SEARCH("Late",Reconciliation!L41)),"🔵 LOW",""))))))</f>
        <v/>
      </c>
      <c r="B44" s="15" t="str">
        <f aca="false">IF(Reconciliation!L41="✅ Matched","",Reconciliation!A41)</f>
        <v/>
      </c>
      <c r="C44" s="15" t="str">
        <f aca="false">IF(Reconciliation!L41="✅ Matched","",Reconciliation!L41)</f>
        <v/>
      </c>
      <c r="D44" s="17" t="str">
        <f aca="false">IF(Reconciliation!L41="✅ Matched","",Reconciliation!E41)</f>
        <v/>
      </c>
      <c r="E44" s="17" t="str">
        <f aca="false">IF(Reconciliation!L41="✅ Matched","",Reconciliation!F41)</f>
        <v/>
      </c>
      <c r="F44" s="17" t="str">
        <f aca="false">IF(Reconciliation!L41="✅ Matched","",Reconciliation!G41)</f>
        <v/>
      </c>
      <c r="G44" s="15" t="str">
        <f aca="false">IF(Reconciliation!L41="✅ Matched","",Reconciliation!D41)</f>
        <v/>
      </c>
      <c r="H44" s="15" t="str">
        <f aca="false">IF(Reconciliation!L41="✅ Matched","",IF(Reconciliation!J41="No",Reconciliation!I41,""))</f>
        <v/>
      </c>
    </row>
    <row r="45" customFormat="false" ht="15" hidden="false" customHeight="false" outlineLevel="0" collapsed="false">
      <c r="A45" s="15" t="str">
        <f aca="false">IF(Reconciliation!L42="✅ Matched","",IF(ISNUMBER(SEARCH("Missing",Reconciliation!L42)),"🔴 HIGH",IF(ISNUMBER(SEARCH("Phantom",Reconciliation!L42)),"🔴 HIGH",IF(ISNUMBER(SEARCH("Amount",Reconciliation!L42)),"🟡 MED",IF(ISNUMBER(SEARCH("Reference",Reconciliation!L42)),"🟡 MED",IF(ISNUMBER(SEARCH("Late",Reconciliation!L42)),"🔵 LOW",""))))))</f>
        <v/>
      </c>
      <c r="B45" s="15" t="str">
        <f aca="false">IF(Reconciliation!L42="✅ Matched","",Reconciliation!A42)</f>
        <v/>
      </c>
      <c r="C45" s="15" t="str">
        <f aca="false">IF(Reconciliation!L42="✅ Matched","",Reconciliation!L42)</f>
        <v/>
      </c>
      <c r="D45" s="17" t="str">
        <f aca="false">IF(Reconciliation!L42="✅ Matched","",Reconciliation!E42)</f>
        <v/>
      </c>
      <c r="E45" s="17" t="str">
        <f aca="false">IF(Reconciliation!L42="✅ Matched","",Reconciliation!F42)</f>
        <v/>
      </c>
      <c r="F45" s="17" t="str">
        <f aca="false">IF(Reconciliation!L42="✅ Matched","",Reconciliation!G42)</f>
        <v/>
      </c>
      <c r="G45" s="15" t="str">
        <f aca="false">IF(Reconciliation!L42="✅ Matched","",Reconciliation!D42)</f>
        <v/>
      </c>
      <c r="H45" s="15" t="str">
        <f aca="false">IF(Reconciliation!L42="✅ Matched","",IF(Reconciliation!J42="No",Reconciliation!I42,""))</f>
        <v/>
      </c>
    </row>
    <row r="46" customFormat="false" ht="15" hidden="false" customHeight="false" outlineLevel="0" collapsed="false">
      <c r="A46" s="15" t="str">
        <f aca="false">IF(Reconciliation!L43="✅ Matched","",IF(ISNUMBER(SEARCH("Missing",Reconciliation!L43)),"🔴 HIGH",IF(ISNUMBER(SEARCH("Phantom",Reconciliation!L43)),"🔴 HIGH",IF(ISNUMBER(SEARCH("Amount",Reconciliation!L43)),"🟡 MED",IF(ISNUMBER(SEARCH("Reference",Reconciliation!L43)),"🟡 MED",IF(ISNUMBER(SEARCH("Late",Reconciliation!L43)),"🔵 LOW",""))))))</f>
        <v/>
      </c>
      <c r="B46" s="15" t="str">
        <f aca="false">IF(Reconciliation!L43="✅ Matched","",Reconciliation!A43)</f>
        <v/>
      </c>
      <c r="C46" s="15" t="str">
        <f aca="false">IF(Reconciliation!L43="✅ Matched","",Reconciliation!L43)</f>
        <v/>
      </c>
      <c r="D46" s="17" t="str">
        <f aca="false">IF(Reconciliation!L43="✅ Matched","",Reconciliation!E43)</f>
        <v/>
      </c>
      <c r="E46" s="17" t="str">
        <f aca="false">IF(Reconciliation!L43="✅ Matched","",Reconciliation!F43)</f>
        <v/>
      </c>
      <c r="F46" s="17" t="str">
        <f aca="false">IF(Reconciliation!L43="✅ Matched","",Reconciliation!G43)</f>
        <v/>
      </c>
      <c r="G46" s="15" t="str">
        <f aca="false">IF(Reconciliation!L43="✅ Matched","",Reconciliation!D43)</f>
        <v/>
      </c>
      <c r="H46" s="15" t="str">
        <f aca="false">IF(Reconciliation!L43="✅ Matched","",IF(Reconciliation!J43="No",Reconciliation!I43,""))</f>
        <v/>
      </c>
    </row>
    <row r="47" customFormat="false" ht="15" hidden="false" customHeight="false" outlineLevel="0" collapsed="false">
      <c r="A47" s="15" t="str">
        <f aca="false">IF(Reconciliation!L44="✅ Matched","",IF(ISNUMBER(SEARCH("Missing",Reconciliation!L44)),"🔴 HIGH",IF(ISNUMBER(SEARCH("Phantom",Reconciliation!L44)),"🔴 HIGH",IF(ISNUMBER(SEARCH("Amount",Reconciliation!L44)),"🟡 MED",IF(ISNUMBER(SEARCH("Reference",Reconciliation!L44)),"🟡 MED",IF(ISNUMBER(SEARCH("Late",Reconciliation!L44)),"🔵 LOW",""))))))</f>
        <v/>
      </c>
      <c r="B47" s="15" t="str">
        <f aca="false">IF(Reconciliation!L44="✅ Matched","",Reconciliation!A44)</f>
        <v/>
      </c>
      <c r="C47" s="15" t="str">
        <f aca="false">IF(Reconciliation!L44="✅ Matched","",Reconciliation!L44)</f>
        <v/>
      </c>
      <c r="D47" s="17" t="str">
        <f aca="false">IF(Reconciliation!L44="✅ Matched","",Reconciliation!E44)</f>
        <v/>
      </c>
      <c r="E47" s="17" t="str">
        <f aca="false">IF(Reconciliation!L44="✅ Matched","",Reconciliation!F44)</f>
        <v/>
      </c>
      <c r="F47" s="17" t="str">
        <f aca="false">IF(Reconciliation!L44="✅ Matched","",Reconciliation!G44)</f>
        <v/>
      </c>
      <c r="G47" s="15" t="str">
        <f aca="false">IF(Reconciliation!L44="✅ Matched","",Reconciliation!D44)</f>
        <v/>
      </c>
      <c r="H47" s="15" t="str">
        <f aca="false">IF(Reconciliation!L44="✅ Matched","",IF(Reconciliation!J44="No",Reconciliation!I44,""))</f>
        <v/>
      </c>
    </row>
    <row r="48" customFormat="false" ht="15" hidden="false" customHeight="false" outlineLevel="0" collapsed="false">
      <c r="A48" s="15" t="str">
        <f aca="false">IF(Reconciliation!L45="✅ Matched","",IF(ISNUMBER(SEARCH("Missing",Reconciliation!L45)),"🔴 HIGH",IF(ISNUMBER(SEARCH("Phantom",Reconciliation!L45)),"🔴 HIGH",IF(ISNUMBER(SEARCH("Amount",Reconciliation!L45)),"🟡 MED",IF(ISNUMBER(SEARCH("Reference",Reconciliation!L45)),"🟡 MED",IF(ISNUMBER(SEARCH("Late",Reconciliation!L45)),"🔵 LOW",""))))))</f>
        <v/>
      </c>
      <c r="B48" s="15" t="str">
        <f aca="false">IF(Reconciliation!L45="✅ Matched","",Reconciliation!A45)</f>
        <v/>
      </c>
      <c r="C48" s="15" t="str">
        <f aca="false">IF(Reconciliation!L45="✅ Matched","",Reconciliation!L45)</f>
        <v/>
      </c>
      <c r="D48" s="17" t="str">
        <f aca="false">IF(Reconciliation!L45="✅ Matched","",Reconciliation!E45)</f>
        <v/>
      </c>
      <c r="E48" s="17" t="str">
        <f aca="false">IF(Reconciliation!L45="✅ Matched","",Reconciliation!F45)</f>
        <v/>
      </c>
      <c r="F48" s="17" t="str">
        <f aca="false">IF(Reconciliation!L45="✅ Matched","",Reconciliation!G45)</f>
        <v/>
      </c>
      <c r="G48" s="15" t="str">
        <f aca="false">IF(Reconciliation!L45="✅ Matched","",Reconciliation!D45)</f>
        <v/>
      </c>
      <c r="H48" s="15" t="str">
        <f aca="false">IF(Reconciliation!L45="✅ Matched","",IF(Reconciliation!J45="No",Reconciliation!I45,""))</f>
        <v/>
      </c>
    </row>
    <row r="49" customFormat="false" ht="15" hidden="false" customHeight="false" outlineLevel="0" collapsed="false">
      <c r="A49" s="15" t="str">
        <f aca="false">IF(Reconciliation!L46="✅ Matched","",IF(ISNUMBER(SEARCH("Missing",Reconciliation!L46)),"🔴 HIGH",IF(ISNUMBER(SEARCH("Phantom",Reconciliation!L46)),"🔴 HIGH",IF(ISNUMBER(SEARCH("Amount",Reconciliation!L46)),"🟡 MED",IF(ISNUMBER(SEARCH("Reference",Reconciliation!L46)),"🟡 MED",IF(ISNUMBER(SEARCH("Late",Reconciliation!L46)),"🔵 LOW",""))))))</f>
        <v/>
      </c>
      <c r="B49" s="15" t="str">
        <f aca="false">IF(Reconciliation!L46="✅ Matched","",Reconciliation!A46)</f>
        <v/>
      </c>
      <c r="C49" s="15" t="str">
        <f aca="false">IF(Reconciliation!L46="✅ Matched","",Reconciliation!L46)</f>
        <v/>
      </c>
      <c r="D49" s="17" t="str">
        <f aca="false">IF(Reconciliation!L46="✅ Matched","",Reconciliation!E46)</f>
        <v/>
      </c>
      <c r="E49" s="17" t="str">
        <f aca="false">IF(Reconciliation!L46="✅ Matched","",Reconciliation!F46)</f>
        <v/>
      </c>
      <c r="F49" s="17" t="str">
        <f aca="false">IF(Reconciliation!L46="✅ Matched","",Reconciliation!G46)</f>
        <v/>
      </c>
      <c r="G49" s="15" t="str">
        <f aca="false">IF(Reconciliation!L46="✅ Matched","",Reconciliation!D46)</f>
        <v/>
      </c>
      <c r="H49" s="15" t="str">
        <f aca="false">IF(Reconciliation!L46="✅ Matched","",IF(Reconciliation!J46="No",Reconciliation!I46,""))</f>
        <v/>
      </c>
    </row>
    <row r="50" customFormat="false" ht="15" hidden="false" customHeight="false" outlineLevel="0" collapsed="false">
      <c r="A50" s="15" t="str">
        <f aca="false">IF(Reconciliation!L47="✅ Matched","",IF(ISNUMBER(SEARCH("Missing",Reconciliation!L47)),"🔴 HIGH",IF(ISNUMBER(SEARCH("Phantom",Reconciliation!L47)),"🔴 HIGH",IF(ISNUMBER(SEARCH("Amount",Reconciliation!L47)),"🟡 MED",IF(ISNUMBER(SEARCH("Reference",Reconciliation!L47)),"🟡 MED",IF(ISNUMBER(SEARCH("Late",Reconciliation!L47)),"🔵 LOW",""))))))</f>
        <v/>
      </c>
      <c r="B50" s="15" t="str">
        <f aca="false">IF(Reconciliation!L47="✅ Matched","",Reconciliation!A47)</f>
        <v/>
      </c>
      <c r="C50" s="15" t="str">
        <f aca="false">IF(Reconciliation!L47="✅ Matched","",Reconciliation!L47)</f>
        <v/>
      </c>
      <c r="D50" s="17" t="str">
        <f aca="false">IF(Reconciliation!L47="✅ Matched","",Reconciliation!E47)</f>
        <v/>
      </c>
      <c r="E50" s="17" t="str">
        <f aca="false">IF(Reconciliation!L47="✅ Matched","",Reconciliation!F47)</f>
        <v/>
      </c>
      <c r="F50" s="17" t="str">
        <f aca="false">IF(Reconciliation!L47="✅ Matched","",Reconciliation!G47)</f>
        <v/>
      </c>
      <c r="G50" s="15" t="str">
        <f aca="false">IF(Reconciliation!L47="✅ Matched","",Reconciliation!D47)</f>
        <v/>
      </c>
      <c r="H50" s="15" t="str">
        <f aca="false">IF(Reconciliation!L47="✅ Matched","",IF(Reconciliation!J47="No",Reconciliation!I47,""))</f>
        <v/>
      </c>
    </row>
    <row r="51" customFormat="false" ht="15" hidden="false" customHeight="false" outlineLevel="0" collapsed="false">
      <c r="A51" s="15" t="str">
        <f aca="false">IF(Reconciliation!L48="✅ Matched","",IF(ISNUMBER(SEARCH("Missing",Reconciliation!L48)),"🔴 HIGH",IF(ISNUMBER(SEARCH("Phantom",Reconciliation!L48)),"🔴 HIGH",IF(ISNUMBER(SEARCH("Amount",Reconciliation!L48)),"🟡 MED",IF(ISNUMBER(SEARCH("Reference",Reconciliation!L48)),"🟡 MED",IF(ISNUMBER(SEARCH("Late",Reconciliation!L48)),"🔵 LOW",""))))))</f>
        <v/>
      </c>
      <c r="B51" s="15" t="str">
        <f aca="false">IF(Reconciliation!L48="✅ Matched","",Reconciliation!A48)</f>
        <v/>
      </c>
      <c r="C51" s="15" t="str">
        <f aca="false">IF(Reconciliation!L48="✅ Matched","",Reconciliation!L48)</f>
        <v/>
      </c>
      <c r="D51" s="17" t="str">
        <f aca="false">IF(Reconciliation!L48="✅ Matched","",Reconciliation!E48)</f>
        <v/>
      </c>
      <c r="E51" s="17" t="str">
        <f aca="false">IF(Reconciliation!L48="✅ Matched","",Reconciliation!F48)</f>
        <v/>
      </c>
      <c r="F51" s="17" t="str">
        <f aca="false">IF(Reconciliation!L48="✅ Matched","",Reconciliation!G48)</f>
        <v/>
      </c>
      <c r="G51" s="15" t="str">
        <f aca="false">IF(Reconciliation!L48="✅ Matched","",Reconciliation!D48)</f>
        <v/>
      </c>
      <c r="H51" s="15" t="str">
        <f aca="false">IF(Reconciliation!L48="✅ Matched","",IF(Reconciliation!J48="No",Reconciliation!I48,""))</f>
        <v/>
      </c>
    </row>
    <row r="52" customFormat="false" ht="15" hidden="false" customHeight="false" outlineLevel="0" collapsed="false">
      <c r="A52" s="15" t="str">
        <f aca="false">IF(Reconciliation!L49="✅ Matched","",IF(ISNUMBER(SEARCH("Missing",Reconciliation!L49)),"🔴 HIGH",IF(ISNUMBER(SEARCH("Phantom",Reconciliation!L49)),"🔴 HIGH",IF(ISNUMBER(SEARCH("Amount",Reconciliation!L49)),"🟡 MED",IF(ISNUMBER(SEARCH("Reference",Reconciliation!L49)),"🟡 MED",IF(ISNUMBER(SEARCH("Late",Reconciliation!L49)),"🔵 LOW",""))))))</f>
        <v>🔵 LOW</v>
      </c>
      <c r="B52" s="15" t="str">
        <f aca="false">IF(Reconciliation!L49="✅ Matched","",Reconciliation!A49)</f>
        <v>SEPA-2025-1047</v>
      </c>
      <c r="C52" s="15" t="str">
        <f aca="false">IF(Reconciliation!L49="✅ Matched","",Reconciliation!L49)</f>
        <v>⏰ Late Settlement</v>
      </c>
      <c r="D52" s="17" t="n">
        <f aca="false">IF(Reconciliation!L49="✅ Matched","",Reconciliation!E49)</f>
        <v>392.84</v>
      </c>
      <c r="E52" s="17" t="n">
        <f aca="false">IF(Reconciliation!L49="✅ Matched","",Reconciliation!F49)</f>
        <v>392.84</v>
      </c>
      <c r="F52" s="17" t="n">
        <f aca="false">IF(Reconciliation!L49="✅ Matched","",Reconciliation!G49)</f>
        <v>0</v>
      </c>
      <c r="G52" s="15" t="n">
        <f aca="false">IF(Reconciliation!L49="✅ Matched","",Reconciliation!D49)</f>
        <v>5</v>
      </c>
      <c r="H52" s="15" t="str">
        <f aca="false">IF(Reconciliation!L49="✅ Matched","",IF(Reconciliation!J49="No",Reconciliation!I49,""))</f>
        <v/>
      </c>
    </row>
    <row r="53" customFormat="false" ht="15" hidden="false" customHeight="false" outlineLevel="0" collapsed="false">
      <c r="A53" s="15" t="str">
        <f aca="false">IF(Reconciliation!L50="✅ Matched","",IF(ISNUMBER(SEARCH("Missing",Reconciliation!L50)),"🔴 HIGH",IF(ISNUMBER(SEARCH("Phantom",Reconciliation!L50)),"🔴 HIGH",IF(ISNUMBER(SEARCH("Amount",Reconciliation!L50)),"🟡 MED",IF(ISNUMBER(SEARCH("Reference",Reconciliation!L50)),"🟡 MED",IF(ISNUMBER(SEARCH("Late",Reconciliation!L50)),"🔵 LOW",""))))))</f>
        <v/>
      </c>
      <c r="B53" s="15" t="str">
        <f aca="false">IF(Reconciliation!L50="✅ Matched","",Reconciliation!A50)</f>
        <v/>
      </c>
      <c r="C53" s="15" t="str">
        <f aca="false">IF(Reconciliation!L50="✅ Matched","",Reconciliation!L50)</f>
        <v/>
      </c>
      <c r="D53" s="17" t="str">
        <f aca="false">IF(Reconciliation!L50="✅ Matched","",Reconciliation!E50)</f>
        <v/>
      </c>
      <c r="E53" s="17" t="str">
        <f aca="false">IF(Reconciliation!L50="✅ Matched","",Reconciliation!F50)</f>
        <v/>
      </c>
      <c r="F53" s="17" t="str">
        <f aca="false">IF(Reconciliation!L50="✅ Matched","",Reconciliation!G50)</f>
        <v/>
      </c>
      <c r="G53" s="15" t="str">
        <f aca="false">IF(Reconciliation!L50="✅ Matched","",Reconciliation!D50)</f>
        <v/>
      </c>
      <c r="H53" s="15" t="str">
        <f aca="false">IF(Reconciliation!L50="✅ Matched","",IF(Reconciliation!J50="No",Reconciliation!I50,""))</f>
        <v/>
      </c>
    </row>
    <row r="54" customFormat="false" ht="15" hidden="false" customHeight="false" outlineLevel="0" collapsed="false">
      <c r="A54" s="15" t="str">
        <f aca="false">IF(Reconciliation!L51="✅ Matched","",IF(ISNUMBER(SEARCH("Missing",Reconciliation!L51)),"🔴 HIGH",IF(ISNUMBER(SEARCH("Phantom",Reconciliation!L51)),"🔴 HIGH",IF(ISNUMBER(SEARCH("Amount",Reconciliation!L51)),"🟡 MED",IF(ISNUMBER(SEARCH("Reference",Reconciliation!L51)),"🟡 MED",IF(ISNUMBER(SEARCH("Late",Reconciliation!L51)),"🔵 LOW",""))))))</f>
        <v/>
      </c>
      <c r="B54" s="15" t="str">
        <f aca="false">IF(Reconciliation!L51="✅ Matched","",Reconciliation!A51)</f>
        <v/>
      </c>
      <c r="C54" s="15" t="str">
        <f aca="false">IF(Reconciliation!L51="✅ Matched","",Reconciliation!L51)</f>
        <v/>
      </c>
      <c r="D54" s="17" t="str">
        <f aca="false">IF(Reconciliation!L51="✅ Matched","",Reconciliation!E51)</f>
        <v/>
      </c>
      <c r="E54" s="17" t="str">
        <f aca="false">IF(Reconciliation!L51="✅ Matched","",Reconciliation!F51)</f>
        <v/>
      </c>
      <c r="F54" s="17" t="str">
        <f aca="false">IF(Reconciliation!L51="✅ Matched","",Reconciliation!G51)</f>
        <v/>
      </c>
      <c r="G54" s="15" t="str">
        <f aca="false">IF(Reconciliation!L51="✅ Matched","",Reconciliation!D51)</f>
        <v/>
      </c>
      <c r="H54" s="15" t="str">
        <f aca="false">IF(Reconciliation!L51="✅ Matched","",IF(Reconciliation!J51="No",Reconciliation!I51,""))</f>
        <v/>
      </c>
    </row>
    <row r="55" customFormat="false" ht="15" hidden="false" customHeight="false" outlineLevel="0" collapsed="false">
      <c r="A55" s="15" t="str">
        <f aca="false">IF(Reconciliation!L52="✅ Matched","",IF(ISNUMBER(SEARCH("Missing",Reconciliation!L52)),"🔴 HIGH",IF(ISNUMBER(SEARCH("Phantom",Reconciliation!L52)),"🔴 HIGH",IF(ISNUMBER(SEARCH("Amount",Reconciliation!L52)),"🟡 MED",IF(ISNUMBER(SEARCH("Reference",Reconciliation!L52)),"🟡 MED",IF(ISNUMBER(SEARCH("Late",Reconciliation!L52)),"🔵 LOW",""))))))</f>
        <v/>
      </c>
      <c r="B55" s="15" t="str">
        <f aca="false">IF(Reconciliation!L52="✅ Matched","",Reconciliation!A52)</f>
        <v/>
      </c>
      <c r="C55" s="15" t="str">
        <f aca="false">IF(Reconciliation!L52="✅ Matched","",Reconciliation!L52)</f>
        <v/>
      </c>
      <c r="D55" s="17" t="str">
        <f aca="false">IF(Reconciliation!L52="✅ Matched","",Reconciliation!E52)</f>
        <v/>
      </c>
      <c r="E55" s="17" t="str">
        <f aca="false">IF(Reconciliation!L52="✅ Matched","",Reconciliation!F52)</f>
        <v/>
      </c>
      <c r="F55" s="17" t="str">
        <f aca="false">IF(Reconciliation!L52="✅ Matched","",Reconciliation!G52)</f>
        <v/>
      </c>
      <c r="G55" s="15" t="str">
        <f aca="false">IF(Reconciliation!L52="✅ Matched","",Reconciliation!D52)</f>
        <v/>
      </c>
      <c r="H55" s="15" t="str">
        <f aca="false">IF(Reconciliation!L52="✅ Matched","",IF(Reconciliation!J52="No",Reconciliation!I52,""))</f>
        <v/>
      </c>
    </row>
    <row r="56" customFormat="false" ht="15" hidden="false" customHeight="false" outlineLevel="0" collapsed="false">
      <c r="A56" s="15" t="str">
        <f aca="false">IF(Reconciliation!L53="✅ Matched","",IF(ISNUMBER(SEARCH("Missing",Reconciliation!L53)),"🔴 HIGH",IF(ISNUMBER(SEARCH("Phantom",Reconciliation!L53)),"🔴 HIGH",IF(ISNUMBER(SEARCH("Amount",Reconciliation!L53)),"🟡 MED",IF(ISNUMBER(SEARCH("Reference",Reconciliation!L53)),"🟡 MED",IF(ISNUMBER(SEARCH("Late",Reconciliation!L53)),"🔵 LOW",""))))))</f>
        <v/>
      </c>
      <c r="B56" s="15" t="str">
        <f aca="false">IF(Reconciliation!L53="✅ Matched","",Reconciliation!A53)</f>
        <v/>
      </c>
      <c r="C56" s="15" t="str">
        <f aca="false">IF(Reconciliation!L53="✅ Matched","",Reconciliation!L53)</f>
        <v/>
      </c>
      <c r="D56" s="17" t="str">
        <f aca="false">IF(Reconciliation!L53="✅ Matched","",Reconciliation!E53)</f>
        <v/>
      </c>
      <c r="E56" s="17" t="str">
        <f aca="false">IF(Reconciliation!L53="✅ Matched","",Reconciliation!F53)</f>
        <v/>
      </c>
      <c r="F56" s="17" t="str">
        <f aca="false">IF(Reconciliation!L53="✅ Matched","",Reconciliation!G53)</f>
        <v/>
      </c>
      <c r="G56" s="15" t="str">
        <f aca="false">IF(Reconciliation!L53="✅ Matched","",Reconciliation!D53)</f>
        <v/>
      </c>
      <c r="H56" s="15" t="str">
        <f aca="false">IF(Reconciliation!L53="✅ Matched","",IF(Reconciliation!J53="No",Reconciliation!I53,""))</f>
        <v/>
      </c>
    </row>
    <row r="57" customFormat="false" ht="15" hidden="false" customHeight="false" outlineLevel="0" collapsed="false">
      <c r="A57" s="15" t="str">
        <f aca="false">IF(Reconciliation!L54="✅ Matched","",IF(ISNUMBER(SEARCH("Missing",Reconciliation!L54)),"🔴 HIGH",IF(ISNUMBER(SEARCH("Phantom",Reconciliation!L54)),"🔴 HIGH",IF(ISNUMBER(SEARCH("Amount",Reconciliation!L54)),"🟡 MED",IF(ISNUMBER(SEARCH("Reference",Reconciliation!L54)),"🟡 MED",IF(ISNUMBER(SEARCH("Late",Reconciliation!L54)),"🔵 LOW",""))))))</f>
        <v/>
      </c>
      <c r="B57" s="15" t="str">
        <f aca="false">IF(Reconciliation!L54="✅ Matched","",Reconciliation!A54)</f>
        <v/>
      </c>
      <c r="C57" s="15" t="str">
        <f aca="false">IF(Reconciliation!L54="✅ Matched","",Reconciliation!L54)</f>
        <v/>
      </c>
      <c r="D57" s="17" t="str">
        <f aca="false">IF(Reconciliation!L54="✅ Matched","",Reconciliation!E54)</f>
        <v/>
      </c>
      <c r="E57" s="17" t="str">
        <f aca="false">IF(Reconciliation!L54="✅ Matched","",Reconciliation!F54)</f>
        <v/>
      </c>
      <c r="F57" s="17" t="str">
        <f aca="false">IF(Reconciliation!L54="✅ Matched","",Reconciliation!G54)</f>
        <v/>
      </c>
      <c r="G57" s="15" t="str">
        <f aca="false">IF(Reconciliation!L54="✅ Matched","",Reconciliation!D54)</f>
        <v/>
      </c>
      <c r="H57" s="15" t="str">
        <f aca="false">IF(Reconciliation!L54="✅ Matched","",IF(Reconciliation!J54="No",Reconciliation!I54,""))</f>
        <v/>
      </c>
    </row>
    <row r="58" customFormat="false" ht="15" hidden="false" customHeight="false" outlineLevel="0" collapsed="false">
      <c r="A58" s="15" t="str">
        <f aca="false">IF(Reconciliation!L55="✅ Matched","",IF(ISNUMBER(SEARCH("Missing",Reconciliation!L55)),"🔴 HIGH",IF(ISNUMBER(SEARCH("Phantom",Reconciliation!L55)),"🔴 HIGH",IF(ISNUMBER(SEARCH("Amount",Reconciliation!L55)),"🟡 MED",IF(ISNUMBER(SEARCH("Reference",Reconciliation!L55)),"🟡 MED",IF(ISNUMBER(SEARCH("Late",Reconciliation!L55)),"🔵 LOW",""))))))</f>
        <v>🔵 LOW</v>
      </c>
      <c r="B58" s="15" t="str">
        <f aca="false">IF(Reconciliation!L55="✅ Matched","",Reconciliation!A55)</f>
        <v>SEPA-2025-1053</v>
      </c>
      <c r="C58" s="15" t="str">
        <f aca="false">IF(Reconciliation!L55="✅ Matched","",Reconciliation!L55)</f>
        <v>⏰ Late Settlement</v>
      </c>
      <c r="D58" s="17" t="n">
        <f aca="false">IF(Reconciliation!L55="✅ Matched","",Reconciliation!E55)</f>
        <v>627.58</v>
      </c>
      <c r="E58" s="17" t="n">
        <f aca="false">IF(Reconciliation!L55="✅ Matched","",Reconciliation!F55)</f>
        <v>627.58</v>
      </c>
      <c r="F58" s="17" t="n">
        <f aca="false">IF(Reconciliation!L55="✅ Matched","",Reconciliation!G55)</f>
        <v>0</v>
      </c>
      <c r="G58" s="15" t="n">
        <f aca="false">IF(Reconciliation!L55="✅ Matched","",Reconciliation!D55)</f>
        <v>5</v>
      </c>
      <c r="H58" s="15" t="str">
        <f aca="false">IF(Reconciliation!L55="✅ Matched","",IF(Reconciliation!J55="No",Reconciliation!I55,""))</f>
        <v/>
      </c>
    </row>
    <row r="59" customFormat="false" ht="15" hidden="false" customHeight="false" outlineLevel="0" collapsed="false">
      <c r="A59" s="15" t="str">
        <f aca="false">IF(Reconciliation!L56="✅ Matched","",IF(ISNUMBER(SEARCH("Missing",Reconciliation!L56)),"🔴 HIGH",IF(ISNUMBER(SEARCH("Phantom",Reconciliation!L56)),"🔴 HIGH",IF(ISNUMBER(SEARCH("Amount",Reconciliation!L56)),"🟡 MED",IF(ISNUMBER(SEARCH("Reference",Reconciliation!L56)),"🟡 MED",IF(ISNUMBER(SEARCH("Late",Reconciliation!L56)),"🔵 LOW",""))))))</f>
        <v/>
      </c>
      <c r="B59" s="15" t="str">
        <f aca="false">IF(Reconciliation!L56="✅ Matched","",Reconciliation!A56)</f>
        <v/>
      </c>
      <c r="C59" s="15" t="str">
        <f aca="false">IF(Reconciliation!L56="✅ Matched","",Reconciliation!L56)</f>
        <v/>
      </c>
      <c r="D59" s="17" t="str">
        <f aca="false">IF(Reconciliation!L56="✅ Matched","",Reconciliation!E56)</f>
        <v/>
      </c>
      <c r="E59" s="17" t="str">
        <f aca="false">IF(Reconciliation!L56="✅ Matched","",Reconciliation!F56)</f>
        <v/>
      </c>
      <c r="F59" s="17" t="str">
        <f aca="false">IF(Reconciliation!L56="✅ Matched","",Reconciliation!G56)</f>
        <v/>
      </c>
      <c r="G59" s="15" t="str">
        <f aca="false">IF(Reconciliation!L56="✅ Matched","",Reconciliation!D56)</f>
        <v/>
      </c>
      <c r="H59" s="15" t="str">
        <f aca="false">IF(Reconciliation!L56="✅ Matched","",IF(Reconciliation!J56="No",Reconciliation!I56,""))</f>
        <v/>
      </c>
    </row>
    <row r="60" customFormat="false" ht="15" hidden="false" customHeight="false" outlineLevel="0" collapsed="false">
      <c r="A60" s="15" t="str">
        <f aca="false">IF(Reconciliation!L57="✅ Matched","",IF(ISNUMBER(SEARCH("Missing",Reconciliation!L57)),"🔴 HIGH",IF(ISNUMBER(SEARCH("Phantom",Reconciliation!L57)),"🔴 HIGH",IF(ISNUMBER(SEARCH("Amount",Reconciliation!L57)),"🟡 MED",IF(ISNUMBER(SEARCH("Reference",Reconciliation!L57)),"🟡 MED",IF(ISNUMBER(SEARCH("Late",Reconciliation!L57)),"🔵 LOW",""))))))</f>
        <v>🔴 HIGH</v>
      </c>
      <c r="B60" s="15" t="str">
        <f aca="false">IF(Reconciliation!L57="✅ Matched","",Reconciliation!A57)</f>
        <v>SEPA-2025-1055</v>
      </c>
      <c r="C60" s="15" t="str">
        <f aca="false">IF(Reconciliation!L57="✅ Matched","",Reconciliation!L57)</f>
        <v>❌ Missing in Bank</v>
      </c>
      <c r="D60" s="17" t="n">
        <f aca="false">IF(Reconciliation!L57="✅ Matched","",Reconciliation!E57)</f>
        <v>1842.73</v>
      </c>
      <c r="E60" s="17" t="str">
        <f aca="false">IF(Reconciliation!L57="✅ Matched","",Reconciliation!F57)</f>
        <v/>
      </c>
      <c r="F60" s="17" t="str">
        <f aca="false">IF(Reconciliation!L57="✅ Matched","",Reconciliation!G57)</f>
        <v/>
      </c>
      <c r="G60" s="15" t="str">
        <f aca="false">IF(Reconciliation!L57="✅ Matched","",Reconciliation!D57)</f>
        <v/>
      </c>
      <c r="H60" s="15" t="str">
        <f aca="false">IF(Reconciliation!L57="✅ Matched","",IF(Reconciliation!J57="No",Reconciliation!I57,""))</f>
        <v/>
      </c>
    </row>
    <row r="61" customFormat="false" ht="15" hidden="false" customHeight="false" outlineLevel="0" collapsed="false">
      <c r="A61" s="15" t="str">
        <f aca="false">IF(Reconciliation!L58="✅ Matched","",IF(ISNUMBER(SEARCH("Missing",Reconciliation!L58)),"🔴 HIGH",IF(ISNUMBER(SEARCH("Phantom",Reconciliation!L58)),"🔴 HIGH",IF(ISNUMBER(SEARCH("Amount",Reconciliation!L58)),"🟡 MED",IF(ISNUMBER(SEARCH("Reference",Reconciliation!L58)),"🟡 MED",IF(ISNUMBER(SEARCH("Late",Reconciliation!L58)),"🔵 LOW",""))))))</f>
        <v/>
      </c>
      <c r="B61" s="15" t="str">
        <f aca="false">IF(Reconciliation!L58="✅ Matched","",Reconciliation!A58)</f>
        <v/>
      </c>
      <c r="C61" s="15" t="str">
        <f aca="false">IF(Reconciliation!L58="✅ Matched","",Reconciliation!L58)</f>
        <v/>
      </c>
      <c r="D61" s="17" t="str">
        <f aca="false">IF(Reconciliation!L58="✅ Matched","",Reconciliation!E58)</f>
        <v/>
      </c>
      <c r="E61" s="17" t="str">
        <f aca="false">IF(Reconciliation!L58="✅ Matched","",Reconciliation!F58)</f>
        <v/>
      </c>
      <c r="F61" s="17" t="str">
        <f aca="false">IF(Reconciliation!L58="✅ Matched","",Reconciliation!G58)</f>
        <v/>
      </c>
      <c r="G61" s="15" t="str">
        <f aca="false">IF(Reconciliation!L58="✅ Matched","",Reconciliation!D58)</f>
        <v/>
      </c>
      <c r="H61" s="15" t="str">
        <f aca="false">IF(Reconciliation!L58="✅ Matched","",IF(Reconciliation!J58="No",Reconciliation!I58,""))</f>
        <v/>
      </c>
    </row>
    <row r="62" customFormat="false" ht="15" hidden="false" customHeight="false" outlineLevel="0" collapsed="false">
      <c r="A62" s="15" t="str">
        <f aca="false">IF(Reconciliation!L59="✅ Matched","",IF(ISNUMBER(SEARCH("Missing",Reconciliation!L59)),"🔴 HIGH",IF(ISNUMBER(SEARCH("Phantom",Reconciliation!L59)),"🔴 HIGH",IF(ISNUMBER(SEARCH("Amount",Reconciliation!L59)),"🟡 MED",IF(ISNUMBER(SEARCH("Reference",Reconciliation!L59)),"🟡 MED",IF(ISNUMBER(SEARCH("Late",Reconciliation!L59)),"🔵 LOW",""))))))</f>
        <v/>
      </c>
      <c r="B62" s="15" t="str">
        <f aca="false">IF(Reconciliation!L59="✅ Matched","",Reconciliation!A59)</f>
        <v/>
      </c>
      <c r="C62" s="15" t="str">
        <f aca="false">IF(Reconciliation!L59="✅ Matched","",Reconciliation!L59)</f>
        <v/>
      </c>
      <c r="D62" s="17" t="str">
        <f aca="false">IF(Reconciliation!L59="✅ Matched","",Reconciliation!E59)</f>
        <v/>
      </c>
      <c r="E62" s="17" t="str">
        <f aca="false">IF(Reconciliation!L59="✅ Matched","",Reconciliation!F59)</f>
        <v/>
      </c>
      <c r="F62" s="17" t="str">
        <f aca="false">IF(Reconciliation!L59="✅ Matched","",Reconciliation!G59)</f>
        <v/>
      </c>
      <c r="G62" s="15" t="str">
        <f aca="false">IF(Reconciliation!L59="✅ Matched","",Reconciliation!D59)</f>
        <v/>
      </c>
      <c r="H62" s="15" t="str">
        <f aca="false">IF(Reconciliation!L59="✅ Matched","",IF(Reconciliation!J59="No",Reconciliation!I59,""))</f>
        <v/>
      </c>
    </row>
    <row r="63" customFormat="false" ht="15" hidden="false" customHeight="false" outlineLevel="0" collapsed="false">
      <c r="A63" s="15" t="str">
        <f aca="false">IF(Reconciliation!L60="✅ Matched","",IF(ISNUMBER(SEARCH("Missing",Reconciliation!L60)),"🔴 HIGH",IF(ISNUMBER(SEARCH("Phantom",Reconciliation!L60)),"🔴 HIGH",IF(ISNUMBER(SEARCH("Amount",Reconciliation!L60)),"🟡 MED",IF(ISNUMBER(SEARCH("Reference",Reconciliation!L60)),"🟡 MED",IF(ISNUMBER(SEARCH("Late",Reconciliation!L60)),"🔵 LOW",""))))))</f>
        <v/>
      </c>
      <c r="B63" s="15" t="str">
        <f aca="false">IF(Reconciliation!L60="✅ Matched","",Reconciliation!A60)</f>
        <v/>
      </c>
      <c r="C63" s="15" t="str">
        <f aca="false">IF(Reconciliation!L60="✅ Matched","",Reconciliation!L60)</f>
        <v/>
      </c>
      <c r="D63" s="17" t="str">
        <f aca="false">IF(Reconciliation!L60="✅ Matched","",Reconciliation!E60)</f>
        <v/>
      </c>
      <c r="E63" s="17" t="str">
        <f aca="false">IF(Reconciliation!L60="✅ Matched","",Reconciliation!F60)</f>
        <v/>
      </c>
      <c r="F63" s="17" t="str">
        <f aca="false">IF(Reconciliation!L60="✅ Matched","",Reconciliation!G60)</f>
        <v/>
      </c>
      <c r="G63" s="15" t="str">
        <f aca="false">IF(Reconciliation!L60="✅ Matched","",Reconciliation!D60)</f>
        <v/>
      </c>
      <c r="H63" s="15" t="str">
        <f aca="false">IF(Reconciliation!L60="✅ Matched","",IF(Reconciliation!J60="No",Reconciliation!I60,""))</f>
        <v/>
      </c>
    </row>
    <row r="64" customFormat="false" ht="15" hidden="false" customHeight="false" outlineLevel="0" collapsed="false">
      <c r="A64" s="15" t="str">
        <f aca="false">IF(Reconciliation!L61="✅ Matched","",IF(ISNUMBER(SEARCH("Missing",Reconciliation!L61)),"🔴 HIGH",IF(ISNUMBER(SEARCH("Phantom",Reconciliation!L61)),"🔴 HIGH",IF(ISNUMBER(SEARCH("Amount",Reconciliation!L61)),"🟡 MED",IF(ISNUMBER(SEARCH("Reference",Reconciliation!L61)),"🟡 MED",IF(ISNUMBER(SEARCH("Late",Reconciliation!L61)),"🔵 LOW",""))))))</f>
        <v>🟡 MED</v>
      </c>
      <c r="B64" s="15" t="str">
        <f aca="false">IF(Reconciliation!L61="✅ Matched","",Reconciliation!A61)</f>
        <v>SEPA-2025-1059</v>
      </c>
      <c r="C64" s="15" t="str">
        <f aca="false">IF(Reconciliation!L61="✅ Matched","",Reconciliation!L61)</f>
        <v>⚠ Amount Mismatch</v>
      </c>
      <c r="D64" s="17" t="n">
        <f aca="false">IF(Reconciliation!L61="✅ Matched","",Reconciliation!E61)</f>
        <v>831.22</v>
      </c>
      <c r="E64" s="17" t="n">
        <f aca="false">IF(Reconciliation!L61="✅ Matched","",Reconciliation!F61)</f>
        <v>832.22</v>
      </c>
      <c r="F64" s="17" t="n">
        <f aca="false">IF(Reconciliation!L61="✅ Matched","",Reconciliation!G61)</f>
        <v>1</v>
      </c>
      <c r="G64" s="15" t="n">
        <f aca="false">IF(Reconciliation!L61="✅ Matched","",Reconciliation!D61)</f>
        <v>3</v>
      </c>
      <c r="H64" s="15" t="str">
        <f aca="false">IF(Reconciliation!L61="✅ Matched","",IF(Reconciliation!J61="No",Reconciliation!I61,""))</f>
        <v/>
      </c>
    </row>
    <row r="65" customFormat="false" ht="15" hidden="false" customHeight="false" outlineLevel="0" collapsed="false">
      <c r="A65" s="15" t="str">
        <f aca="false">IF(Reconciliation!L62="✅ Matched","",IF(ISNUMBER(SEARCH("Missing",Reconciliation!L62)),"🔴 HIGH",IF(ISNUMBER(SEARCH("Phantom",Reconciliation!L62)),"🔴 HIGH",IF(ISNUMBER(SEARCH("Amount",Reconciliation!L62)),"🟡 MED",IF(ISNUMBER(SEARCH("Reference",Reconciliation!L62)),"🟡 MED",IF(ISNUMBER(SEARCH("Late",Reconciliation!L62)),"🔵 LOW",""))))))</f>
        <v>🔵 LOW</v>
      </c>
      <c r="B65" s="15" t="str">
        <f aca="false">IF(Reconciliation!L62="✅ Matched","",Reconciliation!A62)</f>
        <v>SEPA-2025-1060</v>
      </c>
      <c r="C65" s="15" t="str">
        <f aca="false">IF(Reconciliation!L62="✅ Matched","",Reconciliation!L62)</f>
        <v>⏰ Late Settlement</v>
      </c>
      <c r="D65" s="17" t="n">
        <f aca="false">IF(Reconciliation!L62="✅ Matched","",Reconciliation!E62)</f>
        <v>100.45</v>
      </c>
      <c r="E65" s="17" t="n">
        <f aca="false">IF(Reconciliation!L62="✅ Matched","",Reconciliation!F62)</f>
        <v>100.45</v>
      </c>
      <c r="F65" s="17" t="n">
        <f aca="false">IF(Reconciliation!L62="✅ Matched","",Reconciliation!G62)</f>
        <v>0</v>
      </c>
      <c r="G65" s="15" t="n">
        <f aca="false">IF(Reconciliation!L62="✅ Matched","",Reconciliation!D62)</f>
        <v>5</v>
      </c>
      <c r="H65" s="15" t="str">
        <f aca="false">IF(Reconciliation!L62="✅ Matched","",IF(Reconciliation!J62="No",Reconciliation!I62,""))</f>
        <v/>
      </c>
    </row>
    <row r="66" customFormat="false" ht="15" hidden="false" customHeight="false" outlineLevel="0" collapsed="false">
      <c r="A66" s="15" t="str">
        <f aca="false">IF(Reconciliation!L63="✅ Matched","",IF(ISNUMBER(SEARCH("Missing",Reconciliation!L63)),"🔴 HIGH",IF(ISNUMBER(SEARCH("Phantom",Reconciliation!L63)),"🔴 HIGH",IF(ISNUMBER(SEARCH("Amount",Reconciliation!L63)),"🟡 MED",IF(ISNUMBER(SEARCH("Reference",Reconciliation!L63)),"🟡 MED",IF(ISNUMBER(SEARCH("Late",Reconciliation!L63)),"🔵 LOW",""))))))</f>
        <v/>
      </c>
      <c r="B66" s="15" t="str">
        <f aca="false">IF(Reconciliation!L63="✅ Matched","",Reconciliation!A63)</f>
        <v/>
      </c>
      <c r="C66" s="15" t="str">
        <f aca="false">IF(Reconciliation!L63="✅ Matched","",Reconciliation!L63)</f>
        <v/>
      </c>
      <c r="D66" s="17" t="str">
        <f aca="false">IF(Reconciliation!L63="✅ Matched","",Reconciliation!E63)</f>
        <v/>
      </c>
      <c r="E66" s="17" t="str">
        <f aca="false">IF(Reconciliation!L63="✅ Matched","",Reconciliation!F63)</f>
        <v/>
      </c>
      <c r="F66" s="17" t="str">
        <f aca="false">IF(Reconciliation!L63="✅ Matched","",Reconciliation!G63)</f>
        <v/>
      </c>
      <c r="G66" s="15" t="str">
        <f aca="false">IF(Reconciliation!L63="✅ Matched","",Reconciliation!D63)</f>
        <v/>
      </c>
      <c r="H66" s="15" t="str">
        <f aca="false">IF(Reconciliation!L63="✅ Matched","",IF(Reconciliation!J63="No",Reconciliation!I63,""))</f>
        <v/>
      </c>
    </row>
    <row r="67" customFormat="false" ht="15" hidden="false" customHeight="false" outlineLevel="0" collapsed="false">
      <c r="A67" s="15" t="str">
        <f aca="false">IF(Reconciliation!L64="✅ Matched","",IF(ISNUMBER(SEARCH("Missing",Reconciliation!L64)),"🔴 HIGH",IF(ISNUMBER(SEARCH("Phantom",Reconciliation!L64)),"🔴 HIGH",IF(ISNUMBER(SEARCH("Amount",Reconciliation!L64)),"🟡 MED",IF(ISNUMBER(SEARCH("Reference",Reconciliation!L64)),"🟡 MED",IF(ISNUMBER(SEARCH("Late",Reconciliation!L64)),"🔵 LOW",""))))))</f>
        <v/>
      </c>
      <c r="B67" s="15" t="str">
        <f aca="false">IF(Reconciliation!L64="✅ Matched","",Reconciliation!A64)</f>
        <v/>
      </c>
      <c r="C67" s="15" t="str">
        <f aca="false">IF(Reconciliation!L64="✅ Matched","",Reconciliation!L64)</f>
        <v/>
      </c>
      <c r="D67" s="17" t="str">
        <f aca="false">IF(Reconciliation!L64="✅ Matched","",Reconciliation!E64)</f>
        <v/>
      </c>
      <c r="E67" s="17" t="str">
        <f aca="false">IF(Reconciliation!L64="✅ Matched","",Reconciliation!F64)</f>
        <v/>
      </c>
      <c r="F67" s="17" t="str">
        <f aca="false">IF(Reconciliation!L64="✅ Matched","",Reconciliation!G64)</f>
        <v/>
      </c>
      <c r="G67" s="15" t="str">
        <f aca="false">IF(Reconciliation!L64="✅ Matched","",Reconciliation!D64)</f>
        <v/>
      </c>
      <c r="H67" s="15" t="str">
        <f aca="false">IF(Reconciliation!L64="✅ Matched","",IF(Reconciliation!J64="No",Reconciliation!I64,""))</f>
        <v/>
      </c>
    </row>
    <row r="68" customFormat="false" ht="15" hidden="false" customHeight="false" outlineLevel="0" collapsed="false">
      <c r="A68" s="15" t="str">
        <f aca="false">IF(Reconciliation!L65="✅ Matched","",IF(ISNUMBER(SEARCH("Missing",Reconciliation!L65)),"🔴 HIGH",IF(ISNUMBER(SEARCH("Phantom",Reconciliation!L65)),"🔴 HIGH",IF(ISNUMBER(SEARCH("Amount",Reconciliation!L65)),"🟡 MED",IF(ISNUMBER(SEARCH("Reference",Reconciliation!L65)),"🟡 MED",IF(ISNUMBER(SEARCH("Late",Reconciliation!L65)),"🔵 LOW",""))))))</f>
        <v>🔵 LOW</v>
      </c>
      <c r="B68" s="15" t="str">
        <f aca="false">IF(Reconciliation!L65="✅ Matched","",Reconciliation!A65)</f>
        <v>SEPA-2025-1063</v>
      </c>
      <c r="C68" s="15" t="str">
        <f aca="false">IF(Reconciliation!L65="✅ Matched","",Reconciliation!L65)</f>
        <v>⏰ Late Settlement</v>
      </c>
      <c r="D68" s="17" t="n">
        <f aca="false">IF(Reconciliation!L65="✅ Matched","",Reconciliation!E65)</f>
        <v>2372.44</v>
      </c>
      <c r="E68" s="17" t="n">
        <f aca="false">IF(Reconciliation!L65="✅ Matched","",Reconciliation!F65)</f>
        <v>2372.44</v>
      </c>
      <c r="F68" s="17" t="n">
        <f aca="false">IF(Reconciliation!L65="✅ Matched","",Reconciliation!G65)</f>
        <v>0</v>
      </c>
      <c r="G68" s="15" t="n">
        <f aca="false">IF(Reconciliation!L65="✅ Matched","",Reconciliation!D65)</f>
        <v>5</v>
      </c>
      <c r="H68" s="15" t="str">
        <f aca="false">IF(Reconciliation!L65="✅ Matched","",IF(Reconciliation!J65="No",Reconciliation!I65,""))</f>
        <v/>
      </c>
    </row>
    <row r="69" customFormat="false" ht="15" hidden="false" customHeight="false" outlineLevel="0" collapsed="false">
      <c r="A69" s="15" t="str">
        <f aca="false">IF(Reconciliation!L66="✅ Matched","",IF(ISNUMBER(SEARCH("Missing",Reconciliation!L66)),"🔴 HIGH",IF(ISNUMBER(SEARCH("Phantom",Reconciliation!L66)),"🔴 HIGH",IF(ISNUMBER(SEARCH("Amount",Reconciliation!L66)),"🟡 MED",IF(ISNUMBER(SEARCH("Reference",Reconciliation!L66)),"🟡 MED",IF(ISNUMBER(SEARCH("Late",Reconciliation!L66)),"🔵 LOW",""))))))</f>
        <v>🔴 HIGH</v>
      </c>
      <c r="B69" s="15" t="str">
        <f aca="false">IF(Reconciliation!L66="✅ Matched","",Reconciliation!A66)</f>
        <v>SEPA-2025-1064</v>
      </c>
      <c r="C69" s="15" t="str">
        <f aca="false">IF(Reconciliation!L66="✅ Matched","",Reconciliation!L66)</f>
        <v>❌ Missing in Bank</v>
      </c>
      <c r="D69" s="17" t="n">
        <f aca="false">IF(Reconciliation!L66="✅ Matched","",Reconciliation!E66)</f>
        <v>1668.9</v>
      </c>
      <c r="E69" s="17" t="str">
        <f aca="false">IF(Reconciliation!L66="✅ Matched","",Reconciliation!F66)</f>
        <v/>
      </c>
      <c r="F69" s="17" t="str">
        <f aca="false">IF(Reconciliation!L66="✅ Matched","",Reconciliation!G66)</f>
        <v/>
      </c>
      <c r="G69" s="15" t="str">
        <f aca="false">IF(Reconciliation!L66="✅ Matched","",Reconciliation!D66)</f>
        <v/>
      </c>
      <c r="H69" s="15" t="str">
        <f aca="false">IF(Reconciliation!L66="✅ Matched","",IF(Reconciliation!J66="No",Reconciliation!I66,""))</f>
        <v/>
      </c>
    </row>
    <row r="70" customFormat="false" ht="15" hidden="false" customHeight="false" outlineLevel="0" collapsed="false">
      <c r="A70" s="15" t="str">
        <f aca="false">IF(Reconciliation!L67="✅ Matched","",IF(ISNUMBER(SEARCH("Missing",Reconciliation!L67)),"🔴 HIGH",IF(ISNUMBER(SEARCH("Phantom",Reconciliation!L67)),"🔴 HIGH",IF(ISNUMBER(SEARCH("Amount",Reconciliation!L67)),"🟡 MED",IF(ISNUMBER(SEARCH("Reference",Reconciliation!L67)),"🟡 MED",IF(ISNUMBER(SEARCH("Late",Reconciliation!L67)),"🔵 LOW",""))))))</f>
        <v>🔵 LOW</v>
      </c>
      <c r="B70" s="15" t="str">
        <f aca="false">IF(Reconciliation!L67="✅ Matched","",Reconciliation!A67)</f>
        <v>SEPA-2025-1065</v>
      </c>
      <c r="C70" s="15" t="str">
        <f aca="false">IF(Reconciliation!L67="✅ Matched","",Reconciliation!L67)</f>
        <v>⏰ Late Settlement</v>
      </c>
      <c r="D70" s="17" t="n">
        <f aca="false">IF(Reconciliation!L67="✅ Matched","",Reconciliation!E67)</f>
        <v>1054.01</v>
      </c>
      <c r="E70" s="17" t="n">
        <f aca="false">IF(Reconciliation!L67="✅ Matched","",Reconciliation!F67)</f>
        <v>1054.01</v>
      </c>
      <c r="F70" s="17" t="n">
        <f aca="false">IF(Reconciliation!L67="✅ Matched","",Reconciliation!G67)</f>
        <v>0</v>
      </c>
      <c r="G70" s="15" t="n">
        <f aca="false">IF(Reconciliation!L67="✅ Matched","",Reconciliation!D67)</f>
        <v>5</v>
      </c>
      <c r="H70" s="15" t="str">
        <f aca="false">IF(Reconciliation!L67="✅ Matched","",IF(Reconciliation!J67="No",Reconciliation!I67,""))</f>
        <v/>
      </c>
    </row>
    <row r="71" customFormat="false" ht="15" hidden="false" customHeight="false" outlineLevel="0" collapsed="false">
      <c r="A71" s="15" t="str">
        <f aca="false">IF(Reconciliation!L68="✅ Matched","",IF(ISNUMBER(SEARCH("Missing",Reconciliation!L68)),"🔴 HIGH",IF(ISNUMBER(SEARCH("Phantom",Reconciliation!L68)),"🔴 HIGH",IF(ISNUMBER(SEARCH("Amount",Reconciliation!L68)),"🟡 MED",IF(ISNUMBER(SEARCH("Reference",Reconciliation!L68)),"🟡 MED",IF(ISNUMBER(SEARCH("Late",Reconciliation!L68)),"🔵 LOW",""))))))</f>
        <v/>
      </c>
      <c r="B71" s="15" t="str">
        <f aca="false">IF(Reconciliation!L68="✅ Matched","",Reconciliation!A68)</f>
        <v/>
      </c>
      <c r="C71" s="15" t="str">
        <f aca="false">IF(Reconciliation!L68="✅ Matched","",Reconciliation!L68)</f>
        <v/>
      </c>
      <c r="D71" s="17" t="str">
        <f aca="false">IF(Reconciliation!L68="✅ Matched","",Reconciliation!E68)</f>
        <v/>
      </c>
      <c r="E71" s="17" t="str">
        <f aca="false">IF(Reconciliation!L68="✅ Matched","",Reconciliation!F68)</f>
        <v/>
      </c>
      <c r="F71" s="17" t="str">
        <f aca="false">IF(Reconciliation!L68="✅ Matched","",Reconciliation!G68)</f>
        <v/>
      </c>
      <c r="G71" s="15" t="str">
        <f aca="false">IF(Reconciliation!L68="✅ Matched","",Reconciliation!D68)</f>
        <v/>
      </c>
      <c r="H71" s="15" t="str">
        <f aca="false">IF(Reconciliation!L68="✅ Matched","",IF(Reconciliation!J68="No",Reconciliation!I68,""))</f>
        <v/>
      </c>
    </row>
    <row r="72" customFormat="false" ht="15" hidden="false" customHeight="false" outlineLevel="0" collapsed="false">
      <c r="A72" s="15" t="str">
        <f aca="false">IF(Reconciliation!L69="✅ Matched","",IF(ISNUMBER(SEARCH("Missing",Reconciliation!L69)),"🔴 HIGH",IF(ISNUMBER(SEARCH("Phantom",Reconciliation!L69)),"🔴 HIGH",IF(ISNUMBER(SEARCH("Amount",Reconciliation!L69)),"🟡 MED",IF(ISNUMBER(SEARCH("Reference",Reconciliation!L69)),"🟡 MED",IF(ISNUMBER(SEARCH("Late",Reconciliation!L69)),"🔵 LOW",""))))))</f>
        <v/>
      </c>
      <c r="B72" s="15" t="str">
        <f aca="false">IF(Reconciliation!L69="✅ Matched","",Reconciliation!A69)</f>
        <v/>
      </c>
      <c r="C72" s="15" t="str">
        <f aca="false">IF(Reconciliation!L69="✅ Matched","",Reconciliation!L69)</f>
        <v/>
      </c>
      <c r="D72" s="17" t="str">
        <f aca="false">IF(Reconciliation!L69="✅ Matched","",Reconciliation!E69)</f>
        <v/>
      </c>
      <c r="E72" s="17" t="str">
        <f aca="false">IF(Reconciliation!L69="✅ Matched","",Reconciliation!F69)</f>
        <v/>
      </c>
      <c r="F72" s="17" t="str">
        <f aca="false">IF(Reconciliation!L69="✅ Matched","",Reconciliation!G69)</f>
        <v/>
      </c>
      <c r="G72" s="15" t="str">
        <f aca="false">IF(Reconciliation!L69="✅ Matched","",Reconciliation!D69)</f>
        <v/>
      </c>
      <c r="H72" s="15" t="str">
        <f aca="false">IF(Reconciliation!L69="✅ Matched","",IF(Reconciliation!J69="No",Reconciliation!I69,""))</f>
        <v/>
      </c>
    </row>
    <row r="73" customFormat="false" ht="15" hidden="false" customHeight="false" outlineLevel="0" collapsed="false">
      <c r="A73" s="15" t="str">
        <f aca="false">IF(Reconciliation!L70="✅ Matched","",IF(ISNUMBER(SEARCH("Missing",Reconciliation!L70)),"🔴 HIGH",IF(ISNUMBER(SEARCH("Phantom",Reconciliation!L70)),"🔴 HIGH",IF(ISNUMBER(SEARCH("Amount",Reconciliation!L70)),"🟡 MED",IF(ISNUMBER(SEARCH("Reference",Reconciliation!L70)),"🟡 MED",IF(ISNUMBER(SEARCH("Late",Reconciliation!L70)),"🔵 LOW",""))))))</f>
        <v/>
      </c>
      <c r="B73" s="15" t="str">
        <f aca="false">IF(Reconciliation!L70="✅ Matched","",Reconciliation!A70)</f>
        <v/>
      </c>
      <c r="C73" s="15" t="str">
        <f aca="false">IF(Reconciliation!L70="✅ Matched","",Reconciliation!L70)</f>
        <v/>
      </c>
      <c r="D73" s="17" t="str">
        <f aca="false">IF(Reconciliation!L70="✅ Matched","",Reconciliation!E70)</f>
        <v/>
      </c>
      <c r="E73" s="17" t="str">
        <f aca="false">IF(Reconciliation!L70="✅ Matched","",Reconciliation!F70)</f>
        <v/>
      </c>
      <c r="F73" s="17" t="str">
        <f aca="false">IF(Reconciliation!L70="✅ Matched","",Reconciliation!G70)</f>
        <v/>
      </c>
      <c r="G73" s="15" t="str">
        <f aca="false">IF(Reconciliation!L70="✅ Matched","",Reconciliation!D70)</f>
        <v/>
      </c>
      <c r="H73" s="15" t="str">
        <f aca="false">IF(Reconciliation!L70="✅ Matched","",IF(Reconciliation!J70="No",Reconciliation!I70,""))</f>
        <v/>
      </c>
    </row>
    <row r="74" customFormat="false" ht="15" hidden="false" customHeight="false" outlineLevel="0" collapsed="false">
      <c r="A74" s="15" t="str">
        <f aca="false">IF(Reconciliation!L71="✅ Matched","",IF(ISNUMBER(SEARCH("Missing",Reconciliation!L71)),"🔴 HIGH",IF(ISNUMBER(SEARCH("Phantom",Reconciliation!L71)),"🔴 HIGH",IF(ISNUMBER(SEARCH("Amount",Reconciliation!L71)),"🟡 MED",IF(ISNUMBER(SEARCH("Reference",Reconciliation!L71)),"🟡 MED",IF(ISNUMBER(SEARCH("Late",Reconciliation!L71)),"🔵 LOW",""))))))</f>
        <v/>
      </c>
      <c r="B74" s="15" t="str">
        <f aca="false">IF(Reconciliation!L71="✅ Matched","",Reconciliation!A71)</f>
        <v/>
      </c>
      <c r="C74" s="15" t="str">
        <f aca="false">IF(Reconciliation!L71="✅ Matched","",Reconciliation!L71)</f>
        <v/>
      </c>
      <c r="D74" s="17" t="str">
        <f aca="false">IF(Reconciliation!L71="✅ Matched","",Reconciliation!E71)</f>
        <v/>
      </c>
      <c r="E74" s="17" t="str">
        <f aca="false">IF(Reconciliation!L71="✅ Matched","",Reconciliation!F71)</f>
        <v/>
      </c>
      <c r="F74" s="17" t="str">
        <f aca="false">IF(Reconciliation!L71="✅ Matched","",Reconciliation!G71)</f>
        <v/>
      </c>
      <c r="G74" s="15" t="str">
        <f aca="false">IF(Reconciliation!L71="✅ Matched","",Reconciliation!D71)</f>
        <v/>
      </c>
      <c r="H74" s="15" t="str">
        <f aca="false">IF(Reconciliation!L71="✅ Matched","",IF(Reconciliation!J71="No",Reconciliation!I71,""))</f>
        <v/>
      </c>
    </row>
    <row r="75" customFormat="false" ht="15" hidden="false" customHeight="false" outlineLevel="0" collapsed="false">
      <c r="A75" s="15" t="str">
        <f aca="false">IF(Reconciliation!L72="✅ Matched","",IF(ISNUMBER(SEARCH("Missing",Reconciliation!L72)),"🔴 HIGH",IF(ISNUMBER(SEARCH("Phantom",Reconciliation!L72)),"🔴 HIGH",IF(ISNUMBER(SEARCH("Amount",Reconciliation!L72)),"🟡 MED",IF(ISNUMBER(SEARCH("Reference",Reconciliation!L72)),"🟡 MED",IF(ISNUMBER(SEARCH("Late",Reconciliation!L72)),"🔵 LOW",""))))))</f>
        <v/>
      </c>
      <c r="B75" s="15" t="str">
        <f aca="false">IF(Reconciliation!L72="✅ Matched","",Reconciliation!A72)</f>
        <v/>
      </c>
      <c r="C75" s="15" t="str">
        <f aca="false">IF(Reconciliation!L72="✅ Matched","",Reconciliation!L72)</f>
        <v/>
      </c>
      <c r="D75" s="17" t="str">
        <f aca="false">IF(Reconciliation!L72="✅ Matched","",Reconciliation!E72)</f>
        <v/>
      </c>
      <c r="E75" s="17" t="str">
        <f aca="false">IF(Reconciliation!L72="✅ Matched","",Reconciliation!F72)</f>
        <v/>
      </c>
      <c r="F75" s="17" t="str">
        <f aca="false">IF(Reconciliation!L72="✅ Matched","",Reconciliation!G72)</f>
        <v/>
      </c>
      <c r="G75" s="15" t="str">
        <f aca="false">IF(Reconciliation!L72="✅ Matched","",Reconciliation!D72)</f>
        <v/>
      </c>
      <c r="H75" s="15" t="str">
        <f aca="false">IF(Reconciliation!L72="✅ Matched","",IF(Reconciliation!J72="No",Reconciliation!I72,""))</f>
        <v/>
      </c>
    </row>
    <row r="76" customFormat="false" ht="15" hidden="false" customHeight="false" outlineLevel="0" collapsed="false">
      <c r="A76" s="15" t="str">
        <f aca="false">IF(Reconciliation!L73="✅ Matched","",IF(ISNUMBER(SEARCH("Missing",Reconciliation!L73)),"🔴 HIGH",IF(ISNUMBER(SEARCH("Phantom",Reconciliation!L73)),"🔴 HIGH",IF(ISNUMBER(SEARCH("Amount",Reconciliation!L73)),"🟡 MED",IF(ISNUMBER(SEARCH("Reference",Reconciliation!L73)),"🟡 MED",IF(ISNUMBER(SEARCH("Late",Reconciliation!L73)),"🔵 LOW",""))))))</f>
        <v/>
      </c>
      <c r="B76" s="15" t="str">
        <f aca="false">IF(Reconciliation!L73="✅ Matched","",Reconciliation!A73)</f>
        <v/>
      </c>
      <c r="C76" s="15" t="str">
        <f aca="false">IF(Reconciliation!L73="✅ Matched","",Reconciliation!L73)</f>
        <v/>
      </c>
      <c r="D76" s="17" t="str">
        <f aca="false">IF(Reconciliation!L73="✅ Matched","",Reconciliation!E73)</f>
        <v/>
      </c>
      <c r="E76" s="17" t="str">
        <f aca="false">IF(Reconciliation!L73="✅ Matched","",Reconciliation!F73)</f>
        <v/>
      </c>
      <c r="F76" s="17" t="str">
        <f aca="false">IF(Reconciliation!L73="✅ Matched","",Reconciliation!G73)</f>
        <v/>
      </c>
      <c r="G76" s="15" t="str">
        <f aca="false">IF(Reconciliation!L73="✅ Matched","",Reconciliation!D73)</f>
        <v/>
      </c>
      <c r="H76" s="15" t="str">
        <f aca="false">IF(Reconciliation!L73="✅ Matched","",IF(Reconciliation!J73="No",Reconciliation!I73,""))</f>
        <v/>
      </c>
    </row>
    <row r="77" customFormat="false" ht="15" hidden="false" customHeight="false" outlineLevel="0" collapsed="false">
      <c r="A77" s="15" t="str">
        <f aca="false">IF(Reconciliation!L74="✅ Matched","",IF(ISNUMBER(SEARCH("Missing",Reconciliation!L74)),"🔴 HIGH",IF(ISNUMBER(SEARCH("Phantom",Reconciliation!L74)),"🔴 HIGH",IF(ISNUMBER(SEARCH("Amount",Reconciliation!L74)),"🟡 MED",IF(ISNUMBER(SEARCH("Reference",Reconciliation!L74)),"🟡 MED",IF(ISNUMBER(SEARCH("Late",Reconciliation!L74)),"🔵 LOW",""))))))</f>
        <v/>
      </c>
      <c r="B77" s="15" t="str">
        <f aca="false">IF(Reconciliation!L74="✅ Matched","",Reconciliation!A74)</f>
        <v/>
      </c>
      <c r="C77" s="15" t="str">
        <f aca="false">IF(Reconciliation!L74="✅ Matched","",Reconciliation!L74)</f>
        <v/>
      </c>
      <c r="D77" s="17" t="str">
        <f aca="false">IF(Reconciliation!L74="✅ Matched","",Reconciliation!E74)</f>
        <v/>
      </c>
      <c r="E77" s="17" t="str">
        <f aca="false">IF(Reconciliation!L74="✅ Matched","",Reconciliation!F74)</f>
        <v/>
      </c>
      <c r="F77" s="17" t="str">
        <f aca="false">IF(Reconciliation!L74="✅ Matched","",Reconciliation!G74)</f>
        <v/>
      </c>
      <c r="G77" s="15" t="str">
        <f aca="false">IF(Reconciliation!L74="✅ Matched","",Reconciliation!D74)</f>
        <v/>
      </c>
      <c r="H77" s="15" t="str">
        <f aca="false">IF(Reconciliation!L74="✅ Matched","",IF(Reconciliation!J74="No",Reconciliation!I74,""))</f>
        <v/>
      </c>
    </row>
    <row r="78" customFormat="false" ht="15" hidden="false" customHeight="false" outlineLevel="0" collapsed="false">
      <c r="A78" s="15" t="str">
        <f aca="false">IF(Reconciliation!L75="✅ Matched","",IF(ISNUMBER(SEARCH("Missing",Reconciliation!L75)),"🔴 HIGH",IF(ISNUMBER(SEARCH("Phantom",Reconciliation!L75)),"🔴 HIGH",IF(ISNUMBER(SEARCH("Amount",Reconciliation!L75)),"🟡 MED",IF(ISNUMBER(SEARCH("Reference",Reconciliation!L75)),"🟡 MED",IF(ISNUMBER(SEARCH("Late",Reconciliation!L75)),"🔵 LOW",""))))))</f>
        <v/>
      </c>
      <c r="B78" s="15" t="str">
        <f aca="false">IF(Reconciliation!L75="✅ Matched","",Reconciliation!A75)</f>
        <v/>
      </c>
      <c r="C78" s="15" t="str">
        <f aca="false">IF(Reconciliation!L75="✅ Matched","",Reconciliation!L75)</f>
        <v/>
      </c>
      <c r="D78" s="17" t="str">
        <f aca="false">IF(Reconciliation!L75="✅ Matched","",Reconciliation!E75)</f>
        <v/>
      </c>
      <c r="E78" s="17" t="str">
        <f aca="false">IF(Reconciliation!L75="✅ Matched","",Reconciliation!F75)</f>
        <v/>
      </c>
      <c r="F78" s="17" t="str">
        <f aca="false">IF(Reconciliation!L75="✅ Matched","",Reconciliation!G75)</f>
        <v/>
      </c>
      <c r="G78" s="15" t="str">
        <f aca="false">IF(Reconciliation!L75="✅ Matched","",Reconciliation!D75)</f>
        <v/>
      </c>
      <c r="H78" s="15" t="str">
        <f aca="false">IF(Reconciliation!L75="✅ Matched","",IF(Reconciliation!J75="No",Reconciliation!I75,""))</f>
        <v/>
      </c>
    </row>
    <row r="79" customFormat="false" ht="15" hidden="false" customHeight="false" outlineLevel="0" collapsed="false">
      <c r="A79" s="15" t="str">
        <f aca="false">IF(Reconciliation!L76="✅ Matched","",IF(ISNUMBER(SEARCH("Missing",Reconciliation!L76)),"🔴 HIGH",IF(ISNUMBER(SEARCH("Phantom",Reconciliation!L76)),"🔴 HIGH",IF(ISNUMBER(SEARCH("Amount",Reconciliation!L76)),"🟡 MED",IF(ISNUMBER(SEARCH("Reference",Reconciliation!L76)),"🟡 MED",IF(ISNUMBER(SEARCH("Late",Reconciliation!L76)),"🔵 LOW",""))))))</f>
        <v>🔵 LOW</v>
      </c>
      <c r="B79" s="15" t="str">
        <f aca="false">IF(Reconciliation!L76="✅ Matched","",Reconciliation!A76)</f>
        <v>SEPA-2025-1074</v>
      </c>
      <c r="C79" s="15" t="str">
        <f aca="false">IF(Reconciliation!L76="✅ Matched","",Reconciliation!L76)</f>
        <v>⏰ Late Settlement</v>
      </c>
      <c r="D79" s="17" t="n">
        <f aca="false">IF(Reconciliation!L76="✅ Matched","",Reconciliation!E76)</f>
        <v>1670.61</v>
      </c>
      <c r="E79" s="17" t="n">
        <f aca="false">IF(Reconciliation!L76="✅ Matched","",Reconciliation!F76)</f>
        <v>1670.61</v>
      </c>
      <c r="F79" s="17" t="n">
        <f aca="false">IF(Reconciliation!L76="✅ Matched","",Reconciliation!G76)</f>
        <v>0</v>
      </c>
      <c r="G79" s="15" t="n">
        <f aca="false">IF(Reconciliation!L76="✅ Matched","",Reconciliation!D76)</f>
        <v>5</v>
      </c>
      <c r="H79" s="15" t="str">
        <f aca="false">IF(Reconciliation!L76="✅ Matched","",IF(Reconciliation!J76="No",Reconciliation!I76,""))</f>
        <v/>
      </c>
    </row>
    <row r="80" customFormat="false" ht="15" hidden="false" customHeight="false" outlineLevel="0" collapsed="false">
      <c r="A80" s="15" t="str">
        <f aca="false">IF(Reconciliation!L77="✅ Matched","",IF(ISNUMBER(SEARCH("Missing",Reconciliation!L77)),"🔴 HIGH",IF(ISNUMBER(SEARCH("Phantom",Reconciliation!L77)),"🔴 HIGH",IF(ISNUMBER(SEARCH("Amount",Reconciliation!L77)),"🟡 MED",IF(ISNUMBER(SEARCH("Reference",Reconciliation!L77)),"🟡 MED",IF(ISNUMBER(SEARCH("Late",Reconciliation!L77)),"🔵 LOW",""))))))</f>
        <v/>
      </c>
      <c r="B80" s="15" t="str">
        <f aca="false">IF(Reconciliation!L77="✅ Matched","",Reconciliation!A77)</f>
        <v/>
      </c>
      <c r="C80" s="15" t="str">
        <f aca="false">IF(Reconciliation!L77="✅ Matched","",Reconciliation!L77)</f>
        <v/>
      </c>
      <c r="D80" s="17" t="str">
        <f aca="false">IF(Reconciliation!L77="✅ Matched","",Reconciliation!E77)</f>
        <v/>
      </c>
      <c r="E80" s="17" t="str">
        <f aca="false">IF(Reconciliation!L77="✅ Matched","",Reconciliation!F77)</f>
        <v/>
      </c>
      <c r="F80" s="17" t="str">
        <f aca="false">IF(Reconciliation!L77="✅ Matched","",Reconciliation!G77)</f>
        <v/>
      </c>
      <c r="G80" s="15" t="str">
        <f aca="false">IF(Reconciliation!L77="✅ Matched","",Reconciliation!D77)</f>
        <v/>
      </c>
      <c r="H80" s="15" t="str">
        <f aca="false">IF(Reconciliation!L77="✅ Matched","",IF(Reconciliation!J77="No",Reconciliation!I77,""))</f>
        <v/>
      </c>
    </row>
    <row r="81" customFormat="false" ht="15" hidden="false" customHeight="false" outlineLevel="0" collapsed="false">
      <c r="A81" s="15" t="str">
        <f aca="false">IF(Reconciliation!L78="✅ Matched","",IF(ISNUMBER(SEARCH("Missing",Reconciliation!L78)),"🔴 HIGH",IF(ISNUMBER(SEARCH("Phantom",Reconciliation!L78)),"🔴 HIGH",IF(ISNUMBER(SEARCH("Amount",Reconciliation!L78)),"🟡 MED",IF(ISNUMBER(SEARCH("Reference",Reconciliation!L78)),"🟡 MED",IF(ISNUMBER(SEARCH("Late",Reconciliation!L78)),"🔵 LOW",""))))))</f>
        <v/>
      </c>
      <c r="B81" s="15" t="str">
        <f aca="false">IF(Reconciliation!L78="✅ Matched","",Reconciliation!A78)</f>
        <v/>
      </c>
      <c r="C81" s="15" t="str">
        <f aca="false">IF(Reconciliation!L78="✅ Matched","",Reconciliation!L78)</f>
        <v/>
      </c>
      <c r="D81" s="17" t="str">
        <f aca="false">IF(Reconciliation!L78="✅ Matched","",Reconciliation!E78)</f>
        <v/>
      </c>
      <c r="E81" s="17" t="str">
        <f aca="false">IF(Reconciliation!L78="✅ Matched","",Reconciliation!F78)</f>
        <v/>
      </c>
      <c r="F81" s="17" t="str">
        <f aca="false">IF(Reconciliation!L78="✅ Matched","",Reconciliation!G78)</f>
        <v/>
      </c>
      <c r="G81" s="15" t="str">
        <f aca="false">IF(Reconciliation!L78="✅ Matched","",Reconciliation!D78)</f>
        <v/>
      </c>
      <c r="H81" s="15" t="str">
        <f aca="false">IF(Reconciliation!L78="✅ Matched","",IF(Reconciliation!J78="No",Reconciliation!I78,""))</f>
        <v/>
      </c>
    </row>
    <row r="82" customFormat="false" ht="15" hidden="false" customHeight="false" outlineLevel="0" collapsed="false">
      <c r="A82" s="15" t="str">
        <f aca="false">IF(Reconciliation!L79="✅ Matched","",IF(ISNUMBER(SEARCH("Missing",Reconciliation!L79)),"🔴 HIGH",IF(ISNUMBER(SEARCH("Phantom",Reconciliation!L79)),"🔴 HIGH",IF(ISNUMBER(SEARCH("Amount",Reconciliation!L79)),"🟡 MED",IF(ISNUMBER(SEARCH("Reference",Reconciliation!L79)),"🟡 MED",IF(ISNUMBER(SEARCH("Late",Reconciliation!L79)),"🔵 LOW",""))))))</f>
        <v/>
      </c>
      <c r="B82" s="15" t="str">
        <f aca="false">IF(Reconciliation!L79="✅ Matched","",Reconciliation!A79)</f>
        <v/>
      </c>
      <c r="C82" s="15" t="str">
        <f aca="false">IF(Reconciliation!L79="✅ Matched","",Reconciliation!L79)</f>
        <v/>
      </c>
      <c r="D82" s="17" t="str">
        <f aca="false">IF(Reconciliation!L79="✅ Matched","",Reconciliation!E79)</f>
        <v/>
      </c>
      <c r="E82" s="17" t="str">
        <f aca="false">IF(Reconciliation!L79="✅ Matched","",Reconciliation!F79)</f>
        <v/>
      </c>
      <c r="F82" s="17" t="str">
        <f aca="false">IF(Reconciliation!L79="✅ Matched","",Reconciliation!G79)</f>
        <v/>
      </c>
      <c r="G82" s="15" t="str">
        <f aca="false">IF(Reconciliation!L79="✅ Matched","",Reconciliation!D79)</f>
        <v/>
      </c>
      <c r="H82" s="15" t="str">
        <f aca="false">IF(Reconciliation!L79="✅ Matched","",IF(Reconciliation!J79="No",Reconciliation!I79,""))</f>
        <v/>
      </c>
    </row>
    <row r="83" customFormat="false" ht="15" hidden="false" customHeight="false" outlineLevel="0" collapsed="false">
      <c r="A83" s="15" t="str">
        <f aca="false">IF(Reconciliation!L80="✅ Matched","",IF(ISNUMBER(SEARCH("Missing",Reconciliation!L80)),"🔴 HIGH",IF(ISNUMBER(SEARCH("Phantom",Reconciliation!L80)),"🔴 HIGH",IF(ISNUMBER(SEARCH("Amount",Reconciliation!L80)),"🟡 MED",IF(ISNUMBER(SEARCH("Reference",Reconciliation!L80)),"🟡 MED",IF(ISNUMBER(SEARCH("Late",Reconciliation!L80)),"🔵 LOW",""))))))</f>
        <v/>
      </c>
      <c r="B83" s="15" t="str">
        <f aca="false">IF(Reconciliation!L80="✅ Matched","",Reconciliation!A80)</f>
        <v/>
      </c>
      <c r="C83" s="15" t="str">
        <f aca="false">IF(Reconciliation!L80="✅ Matched","",Reconciliation!L80)</f>
        <v/>
      </c>
      <c r="D83" s="17" t="str">
        <f aca="false">IF(Reconciliation!L80="✅ Matched","",Reconciliation!E80)</f>
        <v/>
      </c>
      <c r="E83" s="17" t="str">
        <f aca="false">IF(Reconciliation!L80="✅ Matched","",Reconciliation!F80)</f>
        <v/>
      </c>
      <c r="F83" s="17" t="str">
        <f aca="false">IF(Reconciliation!L80="✅ Matched","",Reconciliation!G80)</f>
        <v/>
      </c>
      <c r="G83" s="15" t="str">
        <f aca="false">IF(Reconciliation!L80="✅ Matched","",Reconciliation!D80)</f>
        <v/>
      </c>
      <c r="H83" s="15" t="str">
        <f aca="false">IF(Reconciliation!L80="✅ Matched","",IF(Reconciliation!J80="No",Reconciliation!I80,""))</f>
        <v/>
      </c>
    </row>
    <row r="84" customFormat="false" ht="15" hidden="false" customHeight="false" outlineLevel="0" collapsed="false">
      <c r="A84" s="15" t="str">
        <f aca="false">IF(Reconciliation!L81="✅ Matched","",IF(ISNUMBER(SEARCH("Missing",Reconciliation!L81)),"🔴 HIGH",IF(ISNUMBER(SEARCH("Phantom",Reconciliation!L81)),"🔴 HIGH",IF(ISNUMBER(SEARCH("Amount",Reconciliation!L81)),"🟡 MED",IF(ISNUMBER(SEARCH("Reference",Reconciliation!L81)),"🟡 MED",IF(ISNUMBER(SEARCH("Late",Reconciliation!L81)),"🔵 LOW",""))))))</f>
        <v/>
      </c>
      <c r="B84" s="15" t="str">
        <f aca="false">IF(Reconciliation!L81="✅ Matched","",Reconciliation!A81)</f>
        <v/>
      </c>
      <c r="C84" s="15" t="str">
        <f aca="false">IF(Reconciliation!L81="✅ Matched","",Reconciliation!L81)</f>
        <v/>
      </c>
      <c r="D84" s="17" t="str">
        <f aca="false">IF(Reconciliation!L81="✅ Matched","",Reconciliation!E81)</f>
        <v/>
      </c>
      <c r="E84" s="17" t="str">
        <f aca="false">IF(Reconciliation!L81="✅ Matched","",Reconciliation!F81)</f>
        <v/>
      </c>
      <c r="F84" s="17" t="str">
        <f aca="false">IF(Reconciliation!L81="✅ Matched","",Reconciliation!G81)</f>
        <v/>
      </c>
      <c r="G84" s="15" t="str">
        <f aca="false">IF(Reconciliation!L81="✅ Matched","",Reconciliation!D81)</f>
        <v/>
      </c>
      <c r="H84" s="15" t="str">
        <f aca="false">IF(Reconciliation!L81="✅ Matched","",IF(Reconciliation!J81="No",Reconciliation!I81,""))</f>
        <v/>
      </c>
    </row>
    <row r="85" customFormat="false" ht="15" hidden="false" customHeight="false" outlineLevel="0" collapsed="false">
      <c r="A85" s="15" t="str">
        <f aca="false">IF(Reconciliation!L82="✅ Matched","",IF(ISNUMBER(SEARCH("Missing",Reconciliation!L82)),"🔴 HIGH",IF(ISNUMBER(SEARCH("Phantom",Reconciliation!L82)),"🔴 HIGH",IF(ISNUMBER(SEARCH("Amount",Reconciliation!L82)),"🟡 MED",IF(ISNUMBER(SEARCH("Reference",Reconciliation!L82)),"🟡 MED",IF(ISNUMBER(SEARCH("Late",Reconciliation!L82)),"🔵 LOW",""))))))</f>
        <v/>
      </c>
      <c r="B85" s="15" t="str">
        <f aca="false">IF(Reconciliation!L82="✅ Matched","",Reconciliation!A82)</f>
        <v/>
      </c>
      <c r="C85" s="15" t="str">
        <f aca="false">IF(Reconciliation!L82="✅ Matched","",Reconciliation!L82)</f>
        <v/>
      </c>
      <c r="D85" s="17" t="str">
        <f aca="false">IF(Reconciliation!L82="✅ Matched","",Reconciliation!E82)</f>
        <v/>
      </c>
      <c r="E85" s="17" t="str">
        <f aca="false">IF(Reconciliation!L82="✅ Matched","",Reconciliation!F82)</f>
        <v/>
      </c>
      <c r="F85" s="17" t="str">
        <f aca="false">IF(Reconciliation!L82="✅ Matched","",Reconciliation!G82)</f>
        <v/>
      </c>
      <c r="G85" s="15" t="str">
        <f aca="false">IF(Reconciliation!L82="✅ Matched","",Reconciliation!D82)</f>
        <v/>
      </c>
      <c r="H85" s="15" t="str">
        <f aca="false">IF(Reconciliation!L82="✅ Matched","",IF(Reconciliation!J82="No",Reconciliation!I82,""))</f>
        <v/>
      </c>
    </row>
    <row r="86" customFormat="false" ht="15" hidden="false" customHeight="false" outlineLevel="0" collapsed="false">
      <c r="A86" s="15" t="str">
        <f aca="false">IF(Reconciliation!L83="✅ Matched","",IF(ISNUMBER(SEARCH("Missing",Reconciliation!L83)),"🔴 HIGH",IF(ISNUMBER(SEARCH("Phantom",Reconciliation!L83)),"🔴 HIGH",IF(ISNUMBER(SEARCH("Amount",Reconciliation!L83)),"🟡 MED",IF(ISNUMBER(SEARCH("Reference",Reconciliation!L83)),"🟡 MED",IF(ISNUMBER(SEARCH("Late",Reconciliation!L83)),"🔵 LOW",""))))))</f>
        <v/>
      </c>
      <c r="B86" s="15" t="str">
        <f aca="false">IF(Reconciliation!L83="✅ Matched","",Reconciliation!A83)</f>
        <v/>
      </c>
      <c r="C86" s="15" t="str">
        <f aca="false">IF(Reconciliation!L83="✅ Matched","",Reconciliation!L83)</f>
        <v/>
      </c>
      <c r="D86" s="17" t="str">
        <f aca="false">IF(Reconciliation!L83="✅ Matched","",Reconciliation!E83)</f>
        <v/>
      </c>
      <c r="E86" s="17" t="str">
        <f aca="false">IF(Reconciliation!L83="✅ Matched","",Reconciliation!F83)</f>
        <v/>
      </c>
      <c r="F86" s="17" t="str">
        <f aca="false">IF(Reconciliation!L83="✅ Matched","",Reconciliation!G83)</f>
        <v/>
      </c>
      <c r="G86" s="15" t="str">
        <f aca="false">IF(Reconciliation!L83="✅ Matched","",Reconciliation!D83)</f>
        <v/>
      </c>
      <c r="H86" s="15" t="str">
        <f aca="false">IF(Reconciliation!L83="✅ Matched","",IF(Reconciliation!J83="No",Reconciliation!I83,""))</f>
        <v/>
      </c>
    </row>
    <row r="87" customFormat="false" ht="15" hidden="false" customHeight="false" outlineLevel="0" collapsed="false">
      <c r="A87" s="15" t="str">
        <f aca="false">IF(Reconciliation!L84="✅ Matched","",IF(ISNUMBER(SEARCH("Missing",Reconciliation!L84)),"🔴 HIGH",IF(ISNUMBER(SEARCH("Phantom",Reconciliation!L84)),"🔴 HIGH",IF(ISNUMBER(SEARCH("Amount",Reconciliation!L84)),"🟡 MED",IF(ISNUMBER(SEARCH("Reference",Reconciliation!L84)),"🟡 MED",IF(ISNUMBER(SEARCH("Late",Reconciliation!L84)),"🔵 LOW",""))))))</f>
        <v/>
      </c>
      <c r="B87" s="15" t="str">
        <f aca="false">IF(Reconciliation!L84="✅ Matched","",Reconciliation!A84)</f>
        <v/>
      </c>
      <c r="C87" s="15" t="str">
        <f aca="false">IF(Reconciliation!L84="✅ Matched","",Reconciliation!L84)</f>
        <v/>
      </c>
      <c r="D87" s="17" t="str">
        <f aca="false">IF(Reconciliation!L84="✅ Matched","",Reconciliation!E84)</f>
        <v/>
      </c>
      <c r="E87" s="17" t="str">
        <f aca="false">IF(Reconciliation!L84="✅ Matched","",Reconciliation!F84)</f>
        <v/>
      </c>
      <c r="F87" s="17" t="str">
        <f aca="false">IF(Reconciliation!L84="✅ Matched","",Reconciliation!G84)</f>
        <v/>
      </c>
      <c r="G87" s="15" t="str">
        <f aca="false">IF(Reconciliation!L84="✅ Matched","",Reconciliation!D84)</f>
        <v/>
      </c>
      <c r="H87" s="15" t="str">
        <f aca="false">IF(Reconciliation!L84="✅ Matched","",IF(Reconciliation!J84="No",Reconciliation!I84,""))</f>
        <v/>
      </c>
    </row>
    <row r="88" customFormat="false" ht="15" hidden="false" customHeight="false" outlineLevel="0" collapsed="false">
      <c r="A88" s="15" t="str">
        <f aca="false">IF(Reconciliation!L85="✅ Matched","",IF(ISNUMBER(SEARCH("Missing",Reconciliation!L85)),"🔴 HIGH",IF(ISNUMBER(SEARCH("Phantom",Reconciliation!L85)),"🔴 HIGH",IF(ISNUMBER(SEARCH("Amount",Reconciliation!L85)),"🟡 MED",IF(ISNUMBER(SEARCH("Reference",Reconciliation!L85)),"🟡 MED",IF(ISNUMBER(SEARCH("Late",Reconciliation!L85)),"🔵 LOW",""))))))</f>
        <v/>
      </c>
      <c r="B88" s="15" t="str">
        <f aca="false">IF(Reconciliation!L85="✅ Matched","",Reconciliation!A85)</f>
        <v/>
      </c>
      <c r="C88" s="15" t="str">
        <f aca="false">IF(Reconciliation!L85="✅ Matched","",Reconciliation!L85)</f>
        <v/>
      </c>
      <c r="D88" s="17" t="str">
        <f aca="false">IF(Reconciliation!L85="✅ Matched","",Reconciliation!E85)</f>
        <v/>
      </c>
      <c r="E88" s="17" t="str">
        <f aca="false">IF(Reconciliation!L85="✅ Matched","",Reconciliation!F85)</f>
        <v/>
      </c>
      <c r="F88" s="17" t="str">
        <f aca="false">IF(Reconciliation!L85="✅ Matched","",Reconciliation!G85)</f>
        <v/>
      </c>
      <c r="G88" s="15" t="str">
        <f aca="false">IF(Reconciliation!L85="✅ Matched","",Reconciliation!D85)</f>
        <v/>
      </c>
      <c r="H88" s="15" t="str">
        <f aca="false">IF(Reconciliation!L85="✅ Matched","",IF(Reconciliation!J85="No",Reconciliation!I85,""))</f>
        <v/>
      </c>
    </row>
    <row r="89" customFormat="false" ht="15" hidden="false" customHeight="false" outlineLevel="0" collapsed="false">
      <c r="A89" s="15" t="str">
        <f aca="false">IF(Reconciliation!L86="✅ Matched","",IF(ISNUMBER(SEARCH("Missing",Reconciliation!L86)),"🔴 HIGH",IF(ISNUMBER(SEARCH("Phantom",Reconciliation!L86)),"🔴 HIGH",IF(ISNUMBER(SEARCH("Amount",Reconciliation!L86)),"🟡 MED",IF(ISNUMBER(SEARCH("Reference",Reconciliation!L86)),"🟡 MED",IF(ISNUMBER(SEARCH("Late",Reconciliation!L86)),"🔵 LOW",""))))))</f>
        <v/>
      </c>
      <c r="B89" s="15" t="str">
        <f aca="false">IF(Reconciliation!L86="✅ Matched","",Reconciliation!A86)</f>
        <v/>
      </c>
      <c r="C89" s="15" t="str">
        <f aca="false">IF(Reconciliation!L86="✅ Matched","",Reconciliation!L86)</f>
        <v/>
      </c>
      <c r="D89" s="17" t="str">
        <f aca="false">IF(Reconciliation!L86="✅ Matched","",Reconciliation!E86)</f>
        <v/>
      </c>
      <c r="E89" s="17" t="str">
        <f aca="false">IF(Reconciliation!L86="✅ Matched","",Reconciliation!F86)</f>
        <v/>
      </c>
      <c r="F89" s="17" t="str">
        <f aca="false">IF(Reconciliation!L86="✅ Matched","",Reconciliation!G86)</f>
        <v/>
      </c>
      <c r="G89" s="15" t="str">
        <f aca="false">IF(Reconciliation!L86="✅ Matched","",Reconciliation!D86)</f>
        <v/>
      </c>
      <c r="H89" s="15" t="str">
        <f aca="false">IF(Reconciliation!L86="✅ Matched","",IF(Reconciliation!J86="No",Reconciliation!I86,""))</f>
        <v/>
      </c>
    </row>
    <row r="90" customFormat="false" ht="15" hidden="false" customHeight="false" outlineLevel="0" collapsed="false">
      <c r="A90" s="15" t="str">
        <f aca="false">IF(Reconciliation!L87="✅ Matched","",IF(ISNUMBER(SEARCH("Missing",Reconciliation!L87)),"🔴 HIGH",IF(ISNUMBER(SEARCH("Phantom",Reconciliation!L87)),"🔴 HIGH",IF(ISNUMBER(SEARCH("Amount",Reconciliation!L87)),"🟡 MED",IF(ISNUMBER(SEARCH("Reference",Reconciliation!L87)),"🟡 MED",IF(ISNUMBER(SEARCH("Late",Reconciliation!L87)),"🔵 LOW",""))))))</f>
        <v/>
      </c>
      <c r="B90" s="15" t="str">
        <f aca="false">IF(Reconciliation!L87="✅ Matched","",Reconciliation!A87)</f>
        <v/>
      </c>
      <c r="C90" s="15" t="str">
        <f aca="false">IF(Reconciliation!L87="✅ Matched","",Reconciliation!L87)</f>
        <v/>
      </c>
      <c r="D90" s="17" t="str">
        <f aca="false">IF(Reconciliation!L87="✅ Matched","",Reconciliation!E87)</f>
        <v/>
      </c>
      <c r="E90" s="17" t="str">
        <f aca="false">IF(Reconciliation!L87="✅ Matched","",Reconciliation!F87)</f>
        <v/>
      </c>
      <c r="F90" s="17" t="str">
        <f aca="false">IF(Reconciliation!L87="✅ Matched","",Reconciliation!G87)</f>
        <v/>
      </c>
      <c r="G90" s="15" t="str">
        <f aca="false">IF(Reconciliation!L87="✅ Matched","",Reconciliation!D87)</f>
        <v/>
      </c>
      <c r="H90" s="15" t="str">
        <f aca="false">IF(Reconciliation!L87="✅ Matched","",IF(Reconciliation!J87="No",Reconciliation!I87,""))</f>
        <v/>
      </c>
    </row>
    <row r="91" customFormat="false" ht="15" hidden="false" customHeight="false" outlineLevel="0" collapsed="false">
      <c r="A91" s="15" t="str">
        <f aca="false">IF(Reconciliation!L88="✅ Matched","",IF(ISNUMBER(SEARCH("Missing",Reconciliation!L88)),"🔴 HIGH",IF(ISNUMBER(SEARCH("Phantom",Reconciliation!L88)),"🔴 HIGH",IF(ISNUMBER(SEARCH("Amount",Reconciliation!L88)),"🟡 MED",IF(ISNUMBER(SEARCH("Reference",Reconciliation!L88)),"🟡 MED",IF(ISNUMBER(SEARCH("Late",Reconciliation!L88)),"🔵 LOW",""))))))</f>
        <v/>
      </c>
      <c r="B91" s="15" t="str">
        <f aca="false">IF(Reconciliation!L88="✅ Matched","",Reconciliation!A88)</f>
        <v/>
      </c>
      <c r="C91" s="15" t="str">
        <f aca="false">IF(Reconciliation!L88="✅ Matched","",Reconciliation!L88)</f>
        <v/>
      </c>
      <c r="D91" s="17" t="str">
        <f aca="false">IF(Reconciliation!L88="✅ Matched","",Reconciliation!E88)</f>
        <v/>
      </c>
      <c r="E91" s="17" t="str">
        <f aca="false">IF(Reconciliation!L88="✅ Matched","",Reconciliation!F88)</f>
        <v/>
      </c>
      <c r="F91" s="17" t="str">
        <f aca="false">IF(Reconciliation!L88="✅ Matched","",Reconciliation!G88)</f>
        <v/>
      </c>
      <c r="G91" s="15" t="str">
        <f aca="false">IF(Reconciliation!L88="✅ Matched","",Reconciliation!D88)</f>
        <v/>
      </c>
      <c r="H91" s="15" t="str">
        <f aca="false">IF(Reconciliation!L88="✅ Matched","",IF(Reconciliation!J88="No",Reconciliation!I88,""))</f>
        <v/>
      </c>
    </row>
    <row r="92" customFormat="false" ht="15" hidden="false" customHeight="false" outlineLevel="0" collapsed="false">
      <c r="A92" s="15" t="str">
        <f aca="false">IF(Reconciliation!L89="✅ Matched","",IF(ISNUMBER(SEARCH("Missing",Reconciliation!L89)),"🔴 HIGH",IF(ISNUMBER(SEARCH("Phantom",Reconciliation!L89)),"🔴 HIGH",IF(ISNUMBER(SEARCH("Amount",Reconciliation!L89)),"🟡 MED",IF(ISNUMBER(SEARCH("Reference",Reconciliation!L89)),"🟡 MED",IF(ISNUMBER(SEARCH("Late",Reconciliation!L89)),"🔵 LOW",""))))))</f>
        <v/>
      </c>
      <c r="B92" s="15" t="str">
        <f aca="false">IF(Reconciliation!L89="✅ Matched","",Reconciliation!A89)</f>
        <v/>
      </c>
      <c r="C92" s="15" t="str">
        <f aca="false">IF(Reconciliation!L89="✅ Matched","",Reconciliation!L89)</f>
        <v/>
      </c>
      <c r="D92" s="17" t="str">
        <f aca="false">IF(Reconciliation!L89="✅ Matched","",Reconciliation!E89)</f>
        <v/>
      </c>
      <c r="E92" s="17" t="str">
        <f aca="false">IF(Reconciliation!L89="✅ Matched","",Reconciliation!F89)</f>
        <v/>
      </c>
      <c r="F92" s="17" t="str">
        <f aca="false">IF(Reconciliation!L89="✅ Matched","",Reconciliation!G89)</f>
        <v/>
      </c>
      <c r="G92" s="15" t="str">
        <f aca="false">IF(Reconciliation!L89="✅ Matched","",Reconciliation!D89)</f>
        <v/>
      </c>
      <c r="H92" s="15" t="str">
        <f aca="false">IF(Reconciliation!L89="✅ Matched","",IF(Reconciliation!J89="No",Reconciliation!I89,""))</f>
        <v/>
      </c>
    </row>
    <row r="93" customFormat="false" ht="15" hidden="false" customHeight="false" outlineLevel="0" collapsed="false">
      <c r="A93" s="15" t="str">
        <f aca="false">IF(Reconciliation!L90="✅ Matched","",IF(ISNUMBER(SEARCH("Missing",Reconciliation!L90)),"🔴 HIGH",IF(ISNUMBER(SEARCH("Phantom",Reconciliation!L90)),"🔴 HIGH",IF(ISNUMBER(SEARCH("Amount",Reconciliation!L90)),"🟡 MED",IF(ISNUMBER(SEARCH("Reference",Reconciliation!L90)),"🟡 MED",IF(ISNUMBER(SEARCH("Late",Reconciliation!L90)),"🔵 LOW",""))))))</f>
        <v/>
      </c>
      <c r="B93" s="15" t="str">
        <f aca="false">IF(Reconciliation!L90="✅ Matched","",Reconciliation!A90)</f>
        <v/>
      </c>
      <c r="C93" s="15" t="str">
        <f aca="false">IF(Reconciliation!L90="✅ Matched","",Reconciliation!L90)</f>
        <v/>
      </c>
      <c r="D93" s="17" t="str">
        <f aca="false">IF(Reconciliation!L90="✅ Matched","",Reconciliation!E90)</f>
        <v/>
      </c>
      <c r="E93" s="17" t="str">
        <f aca="false">IF(Reconciliation!L90="✅ Matched","",Reconciliation!F90)</f>
        <v/>
      </c>
      <c r="F93" s="17" t="str">
        <f aca="false">IF(Reconciliation!L90="✅ Matched","",Reconciliation!G90)</f>
        <v/>
      </c>
      <c r="G93" s="15" t="str">
        <f aca="false">IF(Reconciliation!L90="✅ Matched","",Reconciliation!D90)</f>
        <v/>
      </c>
      <c r="H93" s="15" t="str">
        <f aca="false">IF(Reconciliation!L90="✅ Matched","",IF(Reconciliation!J90="No",Reconciliation!I90,""))</f>
        <v/>
      </c>
    </row>
    <row r="94" customFormat="false" ht="15" hidden="false" customHeight="false" outlineLevel="0" collapsed="false">
      <c r="A94" s="15" t="str">
        <f aca="false">IF(Reconciliation!L91="✅ Matched","",IF(ISNUMBER(SEARCH("Missing",Reconciliation!L91)),"🔴 HIGH",IF(ISNUMBER(SEARCH("Phantom",Reconciliation!L91)),"🔴 HIGH",IF(ISNUMBER(SEARCH("Amount",Reconciliation!L91)),"🟡 MED",IF(ISNUMBER(SEARCH("Reference",Reconciliation!L91)),"🟡 MED",IF(ISNUMBER(SEARCH("Late",Reconciliation!L91)),"🔵 LOW",""))))))</f>
        <v/>
      </c>
      <c r="B94" s="15" t="str">
        <f aca="false">IF(Reconciliation!L91="✅ Matched","",Reconciliation!A91)</f>
        <v/>
      </c>
      <c r="C94" s="15" t="str">
        <f aca="false">IF(Reconciliation!L91="✅ Matched","",Reconciliation!L91)</f>
        <v/>
      </c>
      <c r="D94" s="17" t="str">
        <f aca="false">IF(Reconciliation!L91="✅ Matched","",Reconciliation!E91)</f>
        <v/>
      </c>
      <c r="E94" s="17" t="str">
        <f aca="false">IF(Reconciliation!L91="✅ Matched","",Reconciliation!F91)</f>
        <v/>
      </c>
      <c r="F94" s="17" t="str">
        <f aca="false">IF(Reconciliation!L91="✅ Matched","",Reconciliation!G91)</f>
        <v/>
      </c>
      <c r="G94" s="15" t="str">
        <f aca="false">IF(Reconciliation!L91="✅ Matched","",Reconciliation!D91)</f>
        <v/>
      </c>
      <c r="H94" s="15" t="str">
        <f aca="false">IF(Reconciliation!L91="✅ Matched","",IF(Reconciliation!J91="No",Reconciliation!I91,""))</f>
        <v/>
      </c>
    </row>
    <row r="95" customFormat="false" ht="15" hidden="false" customHeight="false" outlineLevel="0" collapsed="false">
      <c r="A95" s="15" t="str">
        <f aca="false">IF(Reconciliation!L92="✅ Matched","",IF(ISNUMBER(SEARCH("Missing",Reconciliation!L92)),"🔴 HIGH",IF(ISNUMBER(SEARCH("Phantom",Reconciliation!L92)),"🔴 HIGH",IF(ISNUMBER(SEARCH("Amount",Reconciliation!L92)),"🟡 MED",IF(ISNUMBER(SEARCH("Reference",Reconciliation!L92)),"🟡 MED",IF(ISNUMBER(SEARCH("Late",Reconciliation!L92)),"🔵 LOW",""))))))</f>
        <v/>
      </c>
      <c r="B95" s="15" t="str">
        <f aca="false">IF(Reconciliation!L92="✅ Matched","",Reconciliation!A92)</f>
        <v/>
      </c>
      <c r="C95" s="15" t="str">
        <f aca="false">IF(Reconciliation!L92="✅ Matched","",Reconciliation!L92)</f>
        <v/>
      </c>
      <c r="D95" s="17" t="str">
        <f aca="false">IF(Reconciliation!L92="✅ Matched","",Reconciliation!E92)</f>
        <v/>
      </c>
      <c r="E95" s="17" t="str">
        <f aca="false">IF(Reconciliation!L92="✅ Matched","",Reconciliation!F92)</f>
        <v/>
      </c>
      <c r="F95" s="17" t="str">
        <f aca="false">IF(Reconciliation!L92="✅ Matched","",Reconciliation!G92)</f>
        <v/>
      </c>
      <c r="G95" s="15" t="str">
        <f aca="false">IF(Reconciliation!L92="✅ Matched","",Reconciliation!D92)</f>
        <v/>
      </c>
      <c r="H95" s="15" t="str">
        <f aca="false">IF(Reconciliation!L92="✅ Matched","",IF(Reconciliation!J92="No",Reconciliation!I92,""))</f>
        <v/>
      </c>
    </row>
    <row r="96" customFormat="false" ht="15" hidden="false" customHeight="false" outlineLevel="0" collapsed="false">
      <c r="A96" s="15" t="str">
        <f aca="false">IF(Reconciliation!L93="✅ Matched","",IF(ISNUMBER(SEARCH("Missing",Reconciliation!L93)),"🔴 HIGH",IF(ISNUMBER(SEARCH("Phantom",Reconciliation!L93)),"🔴 HIGH",IF(ISNUMBER(SEARCH("Amount",Reconciliation!L93)),"🟡 MED",IF(ISNUMBER(SEARCH("Reference",Reconciliation!L93)),"🟡 MED",IF(ISNUMBER(SEARCH("Late",Reconciliation!L93)),"🔵 LOW",""))))))</f>
        <v>🔴 HIGH</v>
      </c>
      <c r="B96" s="15" t="str">
        <f aca="false">IF(Reconciliation!L93="✅ Matched","",Reconciliation!A93)</f>
        <v>SEPA-2025-1091</v>
      </c>
      <c r="C96" s="15" t="str">
        <f aca="false">IF(Reconciliation!L93="✅ Matched","",Reconciliation!L93)</f>
        <v>❌ Missing in Bank</v>
      </c>
      <c r="D96" s="17" t="n">
        <f aca="false">IF(Reconciliation!L93="✅ Matched","",Reconciliation!E93)</f>
        <v>1520.08</v>
      </c>
      <c r="E96" s="17" t="str">
        <f aca="false">IF(Reconciliation!L93="✅ Matched","",Reconciliation!F93)</f>
        <v/>
      </c>
      <c r="F96" s="17" t="str">
        <f aca="false">IF(Reconciliation!L93="✅ Matched","",Reconciliation!G93)</f>
        <v/>
      </c>
      <c r="G96" s="15" t="str">
        <f aca="false">IF(Reconciliation!L93="✅ Matched","",Reconciliation!D93)</f>
        <v/>
      </c>
      <c r="H96" s="15" t="str">
        <f aca="false">IF(Reconciliation!L93="✅ Matched","",IF(Reconciliation!J93="No",Reconciliation!I93,""))</f>
        <v/>
      </c>
    </row>
    <row r="97" customFormat="false" ht="15" hidden="false" customHeight="false" outlineLevel="0" collapsed="false">
      <c r="A97" s="15" t="str">
        <f aca="false">IF(Reconciliation!L94="✅ Matched","",IF(ISNUMBER(SEARCH("Missing",Reconciliation!L94)),"🔴 HIGH",IF(ISNUMBER(SEARCH("Phantom",Reconciliation!L94)),"🔴 HIGH",IF(ISNUMBER(SEARCH("Amount",Reconciliation!L94)),"🟡 MED",IF(ISNUMBER(SEARCH("Reference",Reconciliation!L94)),"🟡 MED",IF(ISNUMBER(SEARCH("Late",Reconciliation!L94)),"🔵 LOW",""))))))</f>
        <v/>
      </c>
      <c r="B97" s="15" t="str">
        <f aca="false">IF(Reconciliation!L94="✅ Matched","",Reconciliation!A94)</f>
        <v/>
      </c>
      <c r="C97" s="15" t="str">
        <f aca="false">IF(Reconciliation!L94="✅ Matched","",Reconciliation!L94)</f>
        <v/>
      </c>
      <c r="D97" s="17" t="str">
        <f aca="false">IF(Reconciliation!L94="✅ Matched","",Reconciliation!E94)</f>
        <v/>
      </c>
      <c r="E97" s="17" t="str">
        <f aca="false">IF(Reconciliation!L94="✅ Matched","",Reconciliation!F94)</f>
        <v/>
      </c>
      <c r="F97" s="17" t="str">
        <f aca="false">IF(Reconciliation!L94="✅ Matched","",Reconciliation!G94)</f>
        <v/>
      </c>
      <c r="G97" s="15" t="str">
        <f aca="false">IF(Reconciliation!L94="✅ Matched","",Reconciliation!D94)</f>
        <v/>
      </c>
      <c r="H97" s="15" t="str">
        <f aca="false">IF(Reconciliation!L94="✅ Matched","",IF(Reconciliation!J94="No",Reconciliation!I94,""))</f>
        <v/>
      </c>
    </row>
    <row r="98" customFormat="false" ht="15" hidden="false" customHeight="false" outlineLevel="0" collapsed="false">
      <c r="A98" s="15" t="str">
        <f aca="false">IF(Reconciliation!L95="✅ Matched","",IF(ISNUMBER(SEARCH("Missing",Reconciliation!L95)),"🔴 HIGH",IF(ISNUMBER(SEARCH("Phantom",Reconciliation!L95)),"🔴 HIGH",IF(ISNUMBER(SEARCH("Amount",Reconciliation!L95)),"🟡 MED",IF(ISNUMBER(SEARCH("Reference",Reconciliation!L95)),"🟡 MED",IF(ISNUMBER(SEARCH("Late",Reconciliation!L95)),"🔵 LOW",""))))))</f>
        <v/>
      </c>
      <c r="B98" s="15" t="str">
        <f aca="false">IF(Reconciliation!L95="✅ Matched","",Reconciliation!A95)</f>
        <v/>
      </c>
      <c r="C98" s="15" t="str">
        <f aca="false">IF(Reconciliation!L95="✅ Matched","",Reconciliation!L95)</f>
        <v/>
      </c>
      <c r="D98" s="17" t="str">
        <f aca="false">IF(Reconciliation!L95="✅ Matched","",Reconciliation!E95)</f>
        <v/>
      </c>
      <c r="E98" s="17" t="str">
        <f aca="false">IF(Reconciliation!L95="✅ Matched","",Reconciliation!F95)</f>
        <v/>
      </c>
      <c r="F98" s="17" t="str">
        <f aca="false">IF(Reconciliation!L95="✅ Matched","",Reconciliation!G95)</f>
        <v/>
      </c>
      <c r="G98" s="15" t="str">
        <f aca="false">IF(Reconciliation!L95="✅ Matched","",Reconciliation!D95)</f>
        <v/>
      </c>
      <c r="H98" s="15" t="str">
        <f aca="false">IF(Reconciliation!L95="✅ Matched","",IF(Reconciliation!J95="No",Reconciliation!I95,""))</f>
        <v/>
      </c>
    </row>
    <row r="99" customFormat="false" ht="15" hidden="false" customHeight="false" outlineLevel="0" collapsed="false">
      <c r="A99" s="15" t="str">
        <f aca="false">IF(Reconciliation!L96="✅ Matched","",IF(ISNUMBER(SEARCH("Missing",Reconciliation!L96)),"🔴 HIGH",IF(ISNUMBER(SEARCH("Phantom",Reconciliation!L96)),"🔴 HIGH",IF(ISNUMBER(SEARCH("Amount",Reconciliation!L96)),"🟡 MED",IF(ISNUMBER(SEARCH("Reference",Reconciliation!L96)),"🟡 MED",IF(ISNUMBER(SEARCH("Late",Reconciliation!L96)),"🔵 LOW",""))))))</f>
        <v/>
      </c>
      <c r="B99" s="15" t="str">
        <f aca="false">IF(Reconciliation!L96="✅ Matched","",Reconciliation!A96)</f>
        <v/>
      </c>
      <c r="C99" s="15" t="str">
        <f aca="false">IF(Reconciliation!L96="✅ Matched","",Reconciliation!L96)</f>
        <v/>
      </c>
      <c r="D99" s="17" t="str">
        <f aca="false">IF(Reconciliation!L96="✅ Matched","",Reconciliation!E96)</f>
        <v/>
      </c>
      <c r="E99" s="17" t="str">
        <f aca="false">IF(Reconciliation!L96="✅ Matched","",Reconciliation!F96)</f>
        <v/>
      </c>
      <c r="F99" s="17" t="str">
        <f aca="false">IF(Reconciliation!L96="✅ Matched","",Reconciliation!G96)</f>
        <v/>
      </c>
      <c r="G99" s="15" t="str">
        <f aca="false">IF(Reconciliation!L96="✅ Matched","",Reconciliation!D96)</f>
        <v/>
      </c>
      <c r="H99" s="15" t="str">
        <f aca="false">IF(Reconciliation!L96="✅ Matched","",IF(Reconciliation!J96="No",Reconciliation!I96,""))</f>
        <v/>
      </c>
    </row>
    <row r="100" customFormat="false" ht="15" hidden="false" customHeight="false" outlineLevel="0" collapsed="false">
      <c r="A100" s="15" t="str">
        <f aca="false">IF(Reconciliation!L97="✅ Matched","",IF(ISNUMBER(SEARCH("Missing",Reconciliation!L97)),"🔴 HIGH",IF(ISNUMBER(SEARCH("Phantom",Reconciliation!L97)),"🔴 HIGH",IF(ISNUMBER(SEARCH("Amount",Reconciliation!L97)),"🟡 MED",IF(ISNUMBER(SEARCH("Reference",Reconciliation!L97)),"🟡 MED",IF(ISNUMBER(SEARCH("Late",Reconciliation!L97)),"🔵 LOW",""))))))</f>
        <v/>
      </c>
      <c r="B100" s="15" t="str">
        <f aca="false">IF(Reconciliation!L97="✅ Matched","",Reconciliation!A97)</f>
        <v/>
      </c>
      <c r="C100" s="15" t="str">
        <f aca="false">IF(Reconciliation!L97="✅ Matched","",Reconciliation!L97)</f>
        <v/>
      </c>
      <c r="D100" s="17" t="str">
        <f aca="false">IF(Reconciliation!L97="✅ Matched","",Reconciliation!E97)</f>
        <v/>
      </c>
      <c r="E100" s="17" t="str">
        <f aca="false">IF(Reconciliation!L97="✅ Matched","",Reconciliation!F97)</f>
        <v/>
      </c>
      <c r="F100" s="17" t="str">
        <f aca="false">IF(Reconciliation!L97="✅ Matched","",Reconciliation!G97)</f>
        <v/>
      </c>
      <c r="G100" s="15" t="str">
        <f aca="false">IF(Reconciliation!L97="✅ Matched","",Reconciliation!D97)</f>
        <v/>
      </c>
      <c r="H100" s="15" t="str">
        <f aca="false">IF(Reconciliation!L97="✅ Matched","",IF(Reconciliation!J97="No",Reconciliation!I97,""))</f>
        <v/>
      </c>
    </row>
    <row r="101" customFormat="false" ht="15" hidden="false" customHeight="false" outlineLevel="0" collapsed="false">
      <c r="A101" s="15" t="str">
        <f aca="false">IF(Reconciliation!L98="✅ Matched","",IF(ISNUMBER(SEARCH("Missing",Reconciliation!L98)),"🔴 HIGH",IF(ISNUMBER(SEARCH("Phantom",Reconciliation!L98)),"🔴 HIGH",IF(ISNUMBER(SEARCH("Amount",Reconciliation!L98)),"🟡 MED",IF(ISNUMBER(SEARCH("Reference",Reconciliation!L98)),"🟡 MED",IF(ISNUMBER(SEARCH("Late",Reconciliation!L98)),"🔵 LOW",""))))))</f>
        <v/>
      </c>
      <c r="B101" s="15" t="str">
        <f aca="false">IF(Reconciliation!L98="✅ Matched","",Reconciliation!A98)</f>
        <v/>
      </c>
      <c r="C101" s="15" t="str">
        <f aca="false">IF(Reconciliation!L98="✅ Matched","",Reconciliation!L98)</f>
        <v/>
      </c>
      <c r="D101" s="17" t="str">
        <f aca="false">IF(Reconciliation!L98="✅ Matched","",Reconciliation!E98)</f>
        <v/>
      </c>
      <c r="E101" s="17" t="str">
        <f aca="false">IF(Reconciliation!L98="✅ Matched","",Reconciliation!F98)</f>
        <v/>
      </c>
      <c r="F101" s="17" t="str">
        <f aca="false">IF(Reconciliation!L98="✅ Matched","",Reconciliation!G98)</f>
        <v/>
      </c>
      <c r="G101" s="15" t="str">
        <f aca="false">IF(Reconciliation!L98="✅ Matched","",Reconciliation!D98)</f>
        <v/>
      </c>
      <c r="H101" s="15" t="str">
        <f aca="false">IF(Reconciliation!L98="✅ Matched","",IF(Reconciliation!J98="No",Reconciliation!I98,""))</f>
        <v/>
      </c>
    </row>
    <row r="102" customFormat="false" ht="15" hidden="false" customHeight="false" outlineLevel="0" collapsed="false">
      <c r="A102" s="15" t="str">
        <f aca="false">IF(Reconciliation!L99="✅ Matched","",IF(ISNUMBER(SEARCH("Missing",Reconciliation!L99)),"🔴 HIGH",IF(ISNUMBER(SEARCH("Phantom",Reconciliation!L99)),"🔴 HIGH",IF(ISNUMBER(SEARCH("Amount",Reconciliation!L99)),"🟡 MED",IF(ISNUMBER(SEARCH("Reference",Reconciliation!L99)),"🟡 MED",IF(ISNUMBER(SEARCH("Late",Reconciliation!L99)),"🔵 LOW",""))))))</f>
        <v/>
      </c>
      <c r="B102" s="15" t="str">
        <f aca="false">IF(Reconciliation!L99="✅ Matched","",Reconciliation!A99)</f>
        <v/>
      </c>
      <c r="C102" s="15" t="str">
        <f aca="false">IF(Reconciliation!L99="✅ Matched","",Reconciliation!L99)</f>
        <v/>
      </c>
      <c r="D102" s="17" t="str">
        <f aca="false">IF(Reconciliation!L99="✅ Matched","",Reconciliation!E99)</f>
        <v/>
      </c>
      <c r="E102" s="17" t="str">
        <f aca="false">IF(Reconciliation!L99="✅ Matched","",Reconciliation!F99)</f>
        <v/>
      </c>
      <c r="F102" s="17" t="str">
        <f aca="false">IF(Reconciliation!L99="✅ Matched","",Reconciliation!G99)</f>
        <v/>
      </c>
      <c r="G102" s="15" t="str">
        <f aca="false">IF(Reconciliation!L99="✅ Matched","",Reconciliation!D99)</f>
        <v/>
      </c>
      <c r="H102" s="15" t="str">
        <f aca="false">IF(Reconciliation!L99="✅ Matched","",IF(Reconciliation!J99="No",Reconciliation!I99,""))</f>
        <v/>
      </c>
    </row>
    <row r="103" customFormat="false" ht="15" hidden="false" customHeight="false" outlineLevel="0" collapsed="false">
      <c r="A103" s="15" t="str">
        <f aca="false">IF(Reconciliation!L100="✅ Matched","",IF(ISNUMBER(SEARCH("Missing",Reconciliation!L100)),"🔴 HIGH",IF(ISNUMBER(SEARCH("Phantom",Reconciliation!L100)),"🔴 HIGH",IF(ISNUMBER(SEARCH("Amount",Reconciliation!L100)),"🟡 MED",IF(ISNUMBER(SEARCH("Reference",Reconciliation!L100)),"🟡 MED",IF(ISNUMBER(SEARCH("Late",Reconciliation!L100)),"🔵 LOW",""))))))</f>
        <v/>
      </c>
      <c r="B103" s="15" t="str">
        <f aca="false">IF(Reconciliation!L100="✅ Matched","",Reconciliation!A100)</f>
        <v/>
      </c>
      <c r="C103" s="15" t="str">
        <f aca="false">IF(Reconciliation!L100="✅ Matched","",Reconciliation!L100)</f>
        <v/>
      </c>
      <c r="D103" s="17" t="str">
        <f aca="false">IF(Reconciliation!L100="✅ Matched","",Reconciliation!E100)</f>
        <v/>
      </c>
      <c r="E103" s="17" t="str">
        <f aca="false">IF(Reconciliation!L100="✅ Matched","",Reconciliation!F100)</f>
        <v/>
      </c>
      <c r="F103" s="17" t="str">
        <f aca="false">IF(Reconciliation!L100="✅ Matched","",Reconciliation!G100)</f>
        <v/>
      </c>
      <c r="G103" s="15" t="str">
        <f aca="false">IF(Reconciliation!L100="✅ Matched","",Reconciliation!D100)</f>
        <v/>
      </c>
      <c r="H103" s="15" t="str">
        <f aca="false">IF(Reconciliation!L100="✅ Matched","",IF(Reconciliation!J100="No",Reconciliation!I100,""))</f>
        <v/>
      </c>
    </row>
    <row r="104" customFormat="false" ht="15" hidden="false" customHeight="false" outlineLevel="0" collapsed="false">
      <c r="A104" s="15" t="str">
        <f aca="false">IF(Reconciliation!L101="✅ Matched","",IF(ISNUMBER(SEARCH("Missing",Reconciliation!L101)),"🔴 HIGH",IF(ISNUMBER(SEARCH("Phantom",Reconciliation!L101)),"🔴 HIGH",IF(ISNUMBER(SEARCH("Amount",Reconciliation!L101)),"🟡 MED",IF(ISNUMBER(SEARCH("Reference",Reconciliation!L101)),"🟡 MED",IF(ISNUMBER(SEARCH("Late",Reconciliation!L101)),"🔵 LOW",""))))))</f>
        <v/>
      </c>
      <c r="B104" s="15" t="str">
        <f aca="false">IF(Reconciliation!L101="✅ Matched","",Reconciliation!A101)</f>
        <v/>
      </c>
      <c r="C104" s="15" t="str">
        <f aca="false">IF(Reconciliation!L101="✅ Matched","",Reconciliation!L101)</f>
        <v/>
      </c>
      <c r="D104" s="17" t="str">
        <f aca="false">IF(Reconciliation!L101="✅ Matched","",Reconciliation!E101)</f>
        <v/>
      </c>
      <c r="E104" s="17" t="str">
        <f aca="false">IF(Reconciliation!L101="✅ Matched","",Reconciliation!F101)</f>
        <v/>
      </c>
      <c r="F104" s="17" t="str">
        <f aca="false">IF(Reconciliation!L101="✅ Matched","",Reconciliation!G101)</f>
        <v/>
      </c>
      <c r="G104" s="15" t="str">
        <f aca="false">IF(Reconciliation!L101="✅ Matched","",Reconciliation!D101)</f>
        <v/>
      </c>
      <c r="H104" s="15" t="str">
        <f aca="false">IF(Reconciliation!L101="✅ Matched","",IF(Reconciliation!J101="No",Reconciliation!I101,""))</f>
        <v/>
      </c>
    </row>
    <row r="105" customFormat="false" ht="15" hidden="false" customHeight="false" outlineLevel="0" collapsed="false">
      <c r="A105" s="15" t="s">
        <v>479</v>
      </c>
      <c r="B105" s="15" t="str">
        <f aca="false">Reconciliation!A102</f>
        <v>SEPA-2025-9000</v>
      </c>
      <c r="C105" s="15" t="str">
        <f aca="false">Reconciliation!L102</f>
        <v>🚨 Phantom (in bank, not internal)</v>
      </c>
      <c r="D105" s="17" t="s">
        <v>448</v>
      </c>
      <c r="E105" s="17" t="n">
        <f aca="false">Reconciliation!F102</f>
        <v>280.15</v>
      </c>
      <c r="F105" s="17" t="s">
        <v>448</v>
      </c>
      <c r="G105" s="15" t="s">
        <v>448</v>
      </c>
      <c r="H105" s="15" t="str">
        <f aca="false">Reconciliation!I102</f>
        <v>UNRECOGNIZED VENDOR</v>
      </c>
    </row>
    <row r="106" customFormat="false" ht="15" hidden="false" customHeight="false" outlineLevel="0" collapsed="false">
      <c r="A106" s="15" t="s">
        <v>479</v>
      </c>
      <c r="B106" s="15" t="str">
        <f aca="false">Reconciliation!A103</f>
        <v>SEPA-2025-9001</v>
      </c>
      <c r="C106" s="15" t="str">
        <f aca="false">Reconciliation!L103</f>
        <v>🚨 Phantom (in bank, not internal)</v>
      </c>
      <c r="D106" s="17" t="s">
        <v>448</v>
      </c>
      <c r="E106" s="17" t="n">
        <f aca="false">Reconciliation!F103</f>
        <v>115.36</v>
      </c>
      <c r="F106" s="17" t="s">
        <v>448</v>
      </c>
      <c r="G106" s="15" t="s">
        <v>448</v>
      </c>
      <c r="H106" s="15" t="str">
        <f aca="false">Reconciliation!I103</f>
        <v>UNRECOGNIZED VENDOR</v>
      </c>
    </row>
    <row r="107" customFormat="false" ht="15" hidden="false" customHeight="false" outlineLevel="0" collapsed="false">
      <c r="A107" s="15" t="s">
        <v>479</v>
      </c>
      <c r="B107" s="15" t="str">
        <f aca="false">Reconciliation!A104</f>
        <v>SEPA-2025-9002</v>
      </c>
      <c r="C107" s="15" t="str">
        <f aca="false">Reconciliation!L104</f>
        <v>🚨 Phantom (in bank, not internal)</v>
      </c>
      <c r="D107" s="17" t="s">
        <v>448</v>
      </c>
      <c r="E107" s="17" t="n">
        <f aca="false">Reconciliation!F104</f>
        <v>445.16</v>
      </c>
      <c r="F107" s="17" t="s">
        <v>448</v>
      </c>
      <c r="G107" s="15" t="s">
        <v>448</v>
      </c>
      <c r="H107" s="15" t="str">
        <f aca="false">Reconciliation!I104</f>
        <v>UNRECOGNIZED VENDOR</v>
      </c>
    </row>
  </sheetData>
  <autoFilter ref="A4:H107"/>
  <conditionalFormatting sqref="A5:A107">
    <cfRule type="expression" priority="2" aboveAverage="0" equalAverage="0" bottom="0" percent="0" rank="0" text="" dxfId="1">
      <formula>ISNUMBER(SEARCH("HIGH",A5))</formula>
    </cfRule>
    <cfRule type="expression" priority="3" aboveAverage="0" equalAverage="0" bottom="0" percent="0" rank="0" text="" dxfId="2">
      <formula>ISNUMBER(SEARCH("MED",A5))</formula>
    </cfRule>
    <cfRule type="expression" priority="4" aboveAverage="0" equalAverage="0" bottom="0" percent="0" rank="0" text="" dxfId="3">
      <formula>ISNUMBER(SEARCH("LOW",A5))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2026-05-03T16:45:24Z</dcterms:created>
  <dc:creator>openpyxl</dc:creator>
  <dc:description/>
  <dc:language>en-US</dc:language>
  <cp:lastModifiedBy/>
  <dcterms:modified xsi:type="dcterms:W3CDTF">2026-05-03T16:45:27Z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